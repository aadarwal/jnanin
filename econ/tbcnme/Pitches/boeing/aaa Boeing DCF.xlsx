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aadarsh/Desktop/"/>
    </mc:Choice>
  </mc:AlternateContent>
  <xr:revisionPtr revIDLastSave="0" documentId="13_ncr:1_{E7EC74F2-37F3-0B4F-A531-36342BF1D4FA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Revenue Build (Base)" sheetId="28" r:id="rId1"/>
    <sheet name="DCF (Base)" sheetId="29" r:id="rId2"/>
    <sheet name="Revenue Build (Bear)" sheetId="27" r:id="rId3"/>
    <sheet name="DCF (Bear)" sheetId="17" r:id="rId4"/>
    <sheet name="Revenue Build (Bull)" sheetId="25" r:id="rId5"/>
    <sheet name="DCF (Bull)" sheetId="3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gXXhkpT9TUnbYlJMIwxONbbFvQFw=="/>
    </ext>
  </extLst>
</workbook>
</file>

<file path=xl/calcChain.xml><?xml version="1.0" encoding="utf-8"?>
<calcChain xmlns="http://schemas.openxmlformats.org/spreadsheetml/2006/main">
  <c r="I11" i="17" l="1"/>
  <c r="K7" i="17"/>
  <c r="G25" i="27"/>
  <c r="J22" i="28"/>
  <c r="I23" i="28"/>
  <c r="I26" i="28"/>
  <c r="K26" i="25"/>
  <c r="I22" i="25"/>
  <c r="H22" i="28"/>
  <c r="H23" i="28" s="1"/>
  <c r="H26" i="25"/>
  <c r="C52" i="30"/>
  <c r="C57" i="30" s="1"/>
  <c r="C47" i="30"/>
  <c r="C46" i="30"/>
  <c r="C44" i="30"/>
  <c r="G36" i="30"/>
  <c r="F36" i="30"/>
  <c r="E36" i="30"/>
  <c r="D36" i="30"/>
  <c r="C36" i="30"/>
  <c r="G34" i="30"/>
  <c r="H33" i="30" s="1"/>
  <c r="F34" i="30"/>
  <c r="E34" i="30"/>
  <c r="D34" i="30"/>
  <c r="C34" i="30"/>
  <c r="G32" i="30"/>
  <c r="F32" i="30"/>
  <c r="I32" i="30" s="1"/>
  <c r="E32" i="30"/>
  <c r="H32" i="30" s="1"/>
  <c r="D32" i="30"/>
  <c r="C32" i="30"/>
  <c r="G30" i="30"/>
  <c r="F30" i="30"/>
  <c r="I30" i="30" s="1"/>
  <c r="E30" i="30"/>
  <c r="H30" i="30" s="1"/>
  <c r="D30" i="30"/>
  <c r="C30" i="30"/>
  <c r="F28" i="30"/>
  <c r="E28" i="30"/>
  <c r="D28" i="30"/>
  <c r="C28" i="30"/>
  <c r="G27" i="30"/>
  <c r="G28" i="30" s="1"/>
  <c r="F27" i="30"/>
  <c r="F37" i="30" s="1"/>
  <c r="E27" i="30"/>
  <c r="E37" i="30" s="1"/>
  <c r="D27" i="30"/>
  <c r="D37" i="30" s="1"/>
  <c r="D38" i="30" s="1"/>
  <c r="C27" i="30"/>
  <c r="C37" i="30" s="1"/>
  <c r="M26" i="30"/>
  <c r="N26" i="30" s="1"/>
  <c r="O26" i="30" s="1"/>
  <c r="G26" i="30"/>
  <c r="H26" i="30" s="1"/>
  <c r="F26" i="30"/>
  <c r="E26" i="30"/>
  <c r="D26" i="30"/>
  <c r="C26" i="30"/>
  <c r="L25" i="30"/>
  <c r="K25" i="30"/>
  <c r="I25" i="30"/>
  <c r="G24" i="30"/>
  <c r="F24" i="30"/>
  <c r="E24" i="30"/>
  <c r="D24" i="30"/>
  <c r="C24" i="30"/>
  <c r="H24" i="30" s="1"/>
  <c r="H23" i="30"/>
  <c r="F22" i="30"/>
  <c r="G22" i="30" s="1"/>
  <c r="H22" i="30" s="1"/>
  <c r="I22" i="30" s="1"/>
  <c r="J22" i="30" s="1"/>
  <c r="K22" i="30" s="1"/>
  <c r="L22" i="30" s="1"/>
  <c r="M22" i="30" s="1"/>
  <c r="G14" i="30"/>
  <c r="F14" i="30"/>
  <c r="E14" i="30"/>
  <c r="D14" i="30"/>
  <c r="C14" i="30"/>
  <c r="G12" i="30"/>
  <c r="F12" i="30"/>
  <c r="E12" i="30"/>
  <c r="D12" i="30"/>
  <c r="C12" i="30"/>
  <c r="M11" i="30"/>
  <c r="L11" i="30"/>
  <c r="K11" i="30"/>
  <c r="J11" i="30"/>
  <c r="I11" i="30"/>
  <c r="H11" i="30"/>
  <c r="G10" i="30"/>
  <c r="F10" i="30"/>
  <c r="E10" i="30"/>
  <c r="D10" i="30"/>
  <c r="C10" i="30"/>
  <c r="G9" i="30"/>
  <c r="F9" i="30"/>
  <c r="E9" i="30"/>
  <c r="D9" i="30"/>
  <c r="C9" i="30"/>
  <c r="H9" i="30" s="1"/>
  <c r="M7" i="30"/>
  <c r="L7" i="30"/>
  <c r="K7" i="30"/>
  <c r="J7" i="30"/>
  <c r="I7" i="30"/>
  <c r="H7" i="30"/>
  <c r="G7" i="30"/>
  <c r="F7" i="30"/>
  <c r="E7" i="30"/>
  <c r="D7" i="30"/>
  <c r="N6" i="30"/>
  <c r="F5" i="30"/>
  <c r="G5" i="30" s="1"/>
  <c r="H5" i="30" s="1"/>
  <c r="I5" i="30" s="1"/>
  <c r="J5" i="30" s="1"/>
  <c r="K5" i="30" s="1"/>
  <c r="L5" i="30" s="1"/>
  <c r="M5" i="30" s="1"/>
  <c r="C52" i="29"/>
  <c r="C46" i="29"/>
  <c r="C47" i="29" s="1"/>
  <c r="C57" i="29" s="1"/>
  <c r="C44" i="29"/>
  <c r="F38" i="29"/>
  <c r="E38" i="29"/>
  <c r="E15" i="29" s="1"/>
  <c r="G36" i="29"/>
  <c r="F36" i="29"/>
  <c r="E36" i="29"/>
  <c r="H36" i="29" s="1"/>
  <c r="D36" i="29"/>
  <c r="C36" i="29"/>
  <c r="G34" i="29"/>
  <c r="F34" i="29"/>
  <c r="E34" i="29"/>
  <c r="D34" i="29"/>
  <c r="C34" i="29"/>
  <c r="G32" i="29"/>
  <c r="F32" i="29"/>
  <c r="E32" i="29"/>
  <c r="D32" i="29"/>
  <c r="C32" i="29"/>
  <c r="G30" i="29"/>
  <c r="F30" i="29"/>
  <c r="E30" i="29"/>
  <c r="H30" i="29" s="1"/>
  <c r="D30" i="29"/>
  <c r="C30" i="29"/>
  <c r="F28" i="29"/>
  <c r="E28" i="29"/>
  <c r="D28" i="29"/>
  <c r="G27" i="29"/>
  <c r="G28" i="29" s="1"/>
  <c r="F27" i="29"/>
  <c r="F37" i="29" s="1"/>
  <c r="E27" i="29"/>
  <c r="E37" i="29" s="1"/>
  <c r="D27" i="29"/>
  <c r="D37" i="29" s="1"/>
  <c r="C27" i="29"/>
  <c r="C28" i="29" s="1"/>
  <c r="M26" i="29"/>
  <c r="N26" i="29" s="1"/>
  <c r="O26" i="29" s="1"/>
  <c r="G26" i="29"/>
  <c r="F26" i="29"/>
  <c r="E26" i="29"/>
  <c r="D26" i="29"/>
  <c r="C26" i="29"/>
  <c r="M25" i="29"/>
  <c r="L25" i="29"/>
  <c r="K25" i="29"/>
  <c r="I25" i="29"/>
  <c r="G24" i="29"/>
  <c r="F24" i="29"/>
  <c r="E24" i="29"/>
  <c r="D24" i="29"/>
  <c r="C24" i="29"/>
  <c r="H24" i="29" s="1"/>
  <c r="H23" i="29"/>
  <c r="H22" i="29"/>
  <c r="I22" i="29" s="1"/>
  <c r="J22" i="29" s="1"/>
  <c r="K22" i="29" s="1"/>
  <c r="L22" i="29" s="1"/>
  <c r="M22" i="29" s="1"/>
  <c r="G22" i="29"/>
  <c r="F22" i="29"/>
  <c r="G14" i="29"/>
  <c r="F14" i="29"/>
  <c r="E14" i="29"/>
  <c r="D14" i="29"/>
  <c r="C14" i="29"/>
  <c r="G12" i="29"/>
  <c r="F12" i="29"/>
  <c r="E12" i="29"/>
  <c r="D12" i="29"/>
  <c r="C12" i="29"/>
  <c r="M11" i="29"/>
  <c r="L11" i="29"/>
  <c r="K11" i="29"/>
  <c r="J11" i="29"/>
  <c r="I11" i="29"/>
  <c r="H11" i="29"/>
  <c r="G10" i="29"/>
  <c r="F10" i="29"/>
  <c r="F15" i="29" s="1"/>
  <c r="E10" i="29"/>
  <c r="D10" i="29"/>
  <c r="C10" i="29"/>
  <c r="G9" i="29"/>
  <c r="F9" i="29"/>
  <c r="E9" i="29"/>
  <c r="D9" i="29"/>
  <c r="C9" i="29"/>
  <c r="M7" i="29"/>
  <c r="L7" i="29"/>
  <c r="K7" i="29"/>
  <c r="J7" i="29"/>
  <c r="I7" i="29"/>
  <c r="H7" i="29"/>
  <c r="G7" i="29"/>
  <c r="F7" i="29"/>
  <c r="E7" i="29"/>
  <c r="D7" i="29"/>
  <c r="N6" i="29"/>
  <c r="F5" i="29"/>
  <c r="G5" i="29" s="1"/>
  <c r="H5" i="29" s="1"/>
  <c r="I5" i="29" s="1"/>
  <c r="J5" i="29" s="1"/>
  <c r="K5" i="29" s="1"/>
  <c r="G42" i="28"/>
  <c r="F42" i="28"/>
  <c r="E42" i="28"/>
  <c r="H42" i="28" s="1"/>
  <c r="D42" i="28"/>
  <c r="G39" i="28"/>
  <c r="F39" i="28"/>
  <c r="E39" i="28"/>
  <c r="D39" i="28"/>
  <c r="M37" i="28"/>
  <c r="L37" i="28"/>
  <c r="K37" i="28"/>
  <c r="J37" i="28"/>
  <c r="I37" i="28"/>
  <c r="C36" i="28"/>
  <c r="D35" i="28"/>
  <c r="D36" i="28" s="1"/>
  <c r="D37" i="28" s="1"/>
  <c r="M33" i="28"/>
  <c r="C32" i="28"/>
  <c r="M30" i="28"/>
  <c r="L30" i="28"/>
  <c r="K30" i="28"/>
  <c r="J30" i="28"/>
  <c r="I30" i="28"/>
  <c r="G22" i="28"/>
  <c r="G24" i="28" s="1"/>
  <c r="F22" i="28"/>
  <c r="F32" i="28" s="1"/>
  <c r="F33" i="28" s="1"/>
  <c r="E22" i="28"/>
  <c r="E32" i="28" s="1"/>
  <c r="C22" i="28"/>
  <c r="C15" i="28"/>
  <c r="J14" i="28"/>
  <c r="I14" i="28"/>
  <c r="H14" i="28"/>
  <c r="G14" i="28"/>
  <c r="F14" i="28"/>
  <c r="E14" i="28"/>
  <c r="D14" i="28"/>
  <c r="J12" i="28"/>
  <c r="G12" i="28"/>
  <c r="F12" i="28"/>
  <c r="E12" i="28"/>
  <c r="D12" i="28"/>
  <c r="H11" i="28"/>
  <c r="I12" i="28" s="1"/>
  <c r="K10" i="28"/>
  <c r="J10" i="28"/>
  <c r="G10" i="28"/>
  <c r="F10" i="28"/>
  <c r="E10" i="28"/>
  <c r="E15" i="28" s="1"/>
  <c r="D10" i="28"/>
  <c r="D15" i="28" s="1"/>
  <c r="D16" i="28" s="1"/>
  <c r="L9" i="28"/>
  <c r="M9" i="28" s="1"/>
  <c r="H9" i="28"/>
  <c r="H10" i="28" s="1"/>
  <c r="I7" i="28"/>
  <c r="H7" i="28"/>
  <c r="G7" i="28"/>
  <c r="G15" i="28" s="1"/>
  <c r="F7" i="28"/>
  <c r="F15" i="28" s="1"/>
  <c r="E7" i="28"/>
  <c r="D7" i="28"/>
  <c r="J6" i="28"/>
  <c r="J7" i="28" s="1"/>
  <c r="J15" i="28" s="1"/>
  <c r="F5" i="28"/>
  <c r="G5" i="28" s="1"/>
  <c r="H5" i="28" s="1"/>
  <c r="I5" i="28" s="1"/>
  <c r="J5" i="28" s="1"/>
  <c r="K5" i="28" s="1"/>
  <c r="L5" i="28" s="1"/>
  <c r="M5" i="28" s="1"/>
  <c r="G42" i="27"/>
  <c r="F42" i="27"/>
  <c r="E42" i="27"/>
  <c r="D42" i="27"/>
  <c r="G39" i="27"/>
  <c r="F39" i="27"/>
  <c r="E39" i="27"/>
  <c r="D39" i="27"/>
  <c r="M37" i="27"/>
  <c r="L37" i="27"/>
  <c r="K37" i="27"/>
  <c r="J37" i="27"/>
  <c r="I37" i="27"/>
  <c r="C36" i="27"/>
  <c r="D35" i="27"/>
  <c r="E35" i="27" s="1"/>
  <c r="M33" i="27"/>
  <c r="C32" i="27"/>
  <c r="M30" i="27"/>
  <c r="L30" i="27"/>
  <c r="K30" i="27"/>
  <c r="J30" i="27"/>
  <c r="I30" i="27"/>
  <c r="G22" i="27"/>
  <c r="G24" i="27" s="1"/>
  <c r="F22" i="27"/>
  <c r="G23" i="27" s="1"/>
  <c r="E22" i="27"/>
  <c r="E32" i="27" s="1"/>
  <c r="C22" i="27"/>
  <c r="C15" i="27"/>
  <c r="J14" i="27"/>
  <c r="I14" i="27"/>
  <c r="H14" i="27"/>
  <c r="G14" i="27"/>
  <c r="F14" i="27"/>
  <c r="E14" i="27"/>
  <c r="D14" i="27"/>
  <c r="J12" i="27"/>
  <c r="G12" i="27"/>
  <c r="F12" i="27"/>
  <c r="E12" i="27"/>
  <c r="D12" i="27"/>
  <c r="H11" i="27"/>
  <c r="I12" i="27" s="1"/>
  <c r="K10" i="27"/>
  <c r="J10" i="27"/>
  <c r="G10" i="27"/>
  <c r="F10" i="27"/>
  <c r="E10" i="27"/>
  <c r="D10" i="27"/>
  <c r="D15" i="27" s="1"/>
  <c r="D16" i="27" s="1"/>
  <c r="L9" i="27"/>
  <c r="M9" i="27" s="1"/>
  <c r="H9" i="27"/>
  <c r="H10" i="27" s="1"/>
  <c r="I7" i="27"/>
  <c r="H7" i="27"/>
  <c r="G7" i="27"/>
  <c r="G15" i="27" s="1"/>
  <c r="F7" i="27"/>
  <c r="F15" i="27" s="1"/>
  <c r="E7" i="27"/>
  <c r="E15" i="27" s="1"/>
  <c r="D7" i="27"/>
  <c r="J6" i="27"/>
  <c r="F5" i="27"/>
  <c r="G5" i="27" s="1"/>
  <c r="H5" i="27" s="1"/>
  <c r="I5" i="27" s="1"/>
  <c r="J5" i="27" s="1"/>
  <c r="K5" i="27" s="1"/>
  <c r="L5" i="27" s="1"/>
  <c r="M5" i="27" s="1"/>
  <c r="P16" i="17"/>
  <c r="O16" i="17"/>
  <c r="N16" i="17"/>
  <c r="M16" i="17"/>
  <c r="L16" i="17"/>
  <c r="K16" i="17"/>
  <c r="J16" i="17"/>
  <c r="I16" i="17"/>
  <c r="H16" i="17"/>
  <c r="C52" i="17"/>
  <c r="C44" i="17"/>
  <c r="C46" i="17" s="1"/>
  <c r="C47" i="17" s="1"/>
  <c r="C34" i="17"/>
  <c r="D34" i="17"/>
  <c r="E34" i="17"/>
  <c r="F34" i="17"/>
  <c r="G34" i="17"/>
  <c r="C32" i="17"/>
  <c r="D32" i="17"/>
  <c r="E32" i="17"/>
  <c r="F32" i="17"/>
  <c r="G32" i="17"/>
  <c r="D36" i="17"/>
  <c r="E36" i="17"/>
  <c r="F36" i="17"/>
  <c r="G36" i="17"/>
  <c r="C36" i="17"/>
  <c r="H23" i="17"/>
  <c r="D30" i="17"/>
  <c r="E30" i="17"/>
  <c r="F30" i="17"/>
  <c r="G30" i="17"/>
  <c r="C30" i="17"/>
  <c r="D26" i="17"/>
  <c r="E26" i="17"/>
  <c r="F26" i="17"/>
  <c r="G26" i="17"/>
  <c r="C26" i="17"/>
  <c r="D24" i="17"/>
  <c r="E24" i="17"/>
  <c r="F24" i="17"/>
  <c r="G24" i="17"/>
  <c r="C24" i="17"/>
  <c r="G27" i="17"/>
  <c r="G28" i="17" s="1"/>
  <c r="F27" i="17"/>
  <c r="F28" i="17" s="1"/>
  <c r="E27" i="17"/>
  <c r="E28" i="17" s="1"/>
  <c r="D27" i="17"/>
  <c r="D28" i="17" s="1"/>
  <c r="C27" i="17"/>
  <c r="C28" i="17" s="1"/>
  <c r="F22" i="17"/>
  <c r="G22" i="17" s="1"/>
  <c r="H22" i="17" s="1"/>
  <c r="I22" i="17" s="1"/>
  <c r="J22" i="17" s="1"/>
  <c r="K22" i="17" s="1"/>
  <c r="L22" i="17" s="1"/>
  <c r="M22" i="17" s="1"/>
  <c r="D14" i="17"/>
  <c r="E14" i="17"/>
  <c r="F14" i="17"/>
  <c r="G14" i="17"/>
  <c r="C14" i="17"/>
  <c r="K11" i="17"/>
  <c r="L11" i="17"/>
  <c r="M11" i="17"/>
  <c r="D12" i="17"/>
  <c r="E12" i="17"/>
  <c r="F12" i="17"/>
  <c r="G12" i="17"/>
  <c r="C12" i="17"/>
  <c r="D10" i="17"/>
  <c r="E10" i="17"/>
  <c r="F10" i="17"/>
  <c r="G10" i="17"/>
  <c r="C10" i="17"/>
  <c r="C9" i="17"/>
  <c r="D9" i="17"/>
  <c r="E9" i="17"/>
  <c r="F9" i="17"/>
  <c r="G9" i="17"/>
  <c r="N6" i="17"/>
  <c r="O6" i="17" s="1"/>
  <c r="P6" i="17" s="1"/>
  <c r="P11" i="17" s="1"/>
  <c r="E7" i="17"/>
  <c r="F7" i="17"/>
  <c r="G7" i="17"/>
  <c r="L7" i="17"/>
  <c r="M7" i="17"/>
  <c r="D7" i="17"/>
  <c r="J28" i="25"/>
  <c r="I30" i="25"/>
  <c r="J30" i="25"/>
  <c r="K30" i="25"/>
  <c r="L30" i="25"/>
  <c r="M30" i="25"/>
  <c r="H30" i="25"/>
  <c r="J15" i="25"/>
  <c r="J26" i="25" s="1"/>
  <c r="J44" i="25" s="1"/>
  <c r="I44" i="25"/>
  <c r="M41" i="25"/>
  <c r="I41" i="25"/>
  <c r="J41" i="25" s="1"/>
  <c r="K41" i="25" s="1"/>
  <c r="L41" i="25" s="1"/>
  <c r="I42" i="25"/>
  <c r="J42" i="25"/>
  <c r="K42" i="25"/>
  <c r="L42" i="25"/>
  <c r="M42" i="25"/>
  <c r="H41" i="25"/>
  <c r="H42" i="25"/>
  <c r="D42" i="25"/>
  <c r="E42" i="25"/>
  <c r="F42" i="25"/>
  <c r="G42" i="25"/>
  <c r="H39" i="25"/>
  <c r="I39" i="25"/>
  <c r="J39" i="25"/>
  <c r="K39" i="25"/>
  <c r="L39" i="25"/>
  <c r="M39" i="25"/>
  <c r="G36" i="25"/>
  <c r="H37" i="25"/>
  <c r="I38" i="25"/>
  <c r="J38" i="25"/>
  <c r="K38" i="25"/>
  <c r="L38" i="25"/>
  <c r="M38" i="25"/>
  <c r="H38" i="25"/>
  <c r="I37" i="25"/>
  <c r="J37" i="25"/>
  <c r="K37" i="25"/>
  <c r="L37" i="25"/>
  <c r="M37" i="25"/>
  <c r="G37" i="25"/>
  <c r="E37" i="25"/>
  <c r="F37" i="25"/>
  <c r="D37" i="25"/>
  <c r="H22" i="25"/>
  <c r="H23" i="25"/>
  <c r="D36" i="25"/>
  <c r="E36" i="25"/>
  <c r="F36" i="25"/>
  <c r="C36" i="25"/>
  <c r="E35" i="25"/>
  <c r="F35" i="25" s="1"/>
  <c r="G35" i="25" s="1"/>
  <c r="H35" i="25" s="1"/>
  <c r="I35" i="25" s="1"/>
  <c r="J35" i="25" s="1"/>
  <c r="K35" i="25" s="1"/>
  <c r="L35" i="25" s="1"/>
  <c r="M35" i="25" s="1"/>
  <c r="D35" i="25"/>
  <c r="E39" i="25"/>
  <c r="F39" i="25"/>
  <c r="G39" i="25"/>
  <c r="D39" i="25"/>
  <c r="E14" i="25"/>
  <c r="F14" i="25"/>
  <c r="G14" i="25"/>
  <c r="H14" i="25"/>
  <c r="I14" i="25"/>
  <c r="J14" i="25"/>
  <c r="D14" i="25"/>
  <c r="L9" i="25"/>
  <c r="M9" i="25" s="1"/>
  <c r="H11" i="25"/>
  <c r="H12" i="25" s="1"/>
  <c r="J12" i="25"/>
  <c r="J10" i="25"/>
  <c r="K10" i="25"/>
  <c r="E7" i="25"/>
  <c r="F7" i="25"/>
  <c r="G7" i="25"/>
  <c r="D7" i="25"/>
  <c r="E12" i="25"/>
  <c r="F12" i="25"/>
  <c r="G12" i="25"/>
  <c r="D12" i="25"/>
  <c r="E10" i="25"/>
  <c r="F10" i="25"/>
  <c r="G10" i="25"/>
  <c r="D10" i="25"/>
  <c r="H9" i="25"/>
  <c r="I10" i="25" s="1"/>
  <c r="C15" i="25"/>
  <c r="C22" i="25"/>
  <c r="C32" i="25" s="1"/>
  <c r="G22" i="25"/>
  <c r="G32" i="25" s="1"/>
  <c r="F22" i="25"/>
  <c r="F32" i="25" s="1"/>
  <c r="E22" i="25"/>
  <c r="E32" i="25" s="1"/>
  <c r="F5" i="17"/>
  <c r="G5" i="17" s="1"/>
  <c r="H5" i="17" s="1"/>
  <c r="I5" i="17" s="1"/>
  <c r="J5" i="17" s="1"/>
  <c r="K5" i="17" s="1"/>
  <c r="L5" i="17" s="1"/>
  <c r="M5" i="17" s="1"/>
  <c r="F5" i="25"/>
  <c r="G5" i="25" s="1"/>
  <c r="H5" i="25" s="1"/>
  <c r="I5" i="25" s="1"/>
  <c r="J5" i="25" s="1"/>
  <c r="K5" i="25" s="1"/>
  <c r="L5" i="25" s="1"/>
  <c r="M5" i="25" s="1"/>
  <c r="I7" i="17" l="1"/>
  <c r="H7" i="17"/>
  <c r="H33" i="17"/>
  <c r="H11" i="17"/>
  <c r="J7" i="17"/>
  <c r="J11" i="17"/>
  <c r="H26" i="29"/>
  <c r="H14" i="29"/>
  <c r="J31" i="30"/>
  <c r="I24" i="30"/>
  <c r="J24" i="30"/>
  <c r="K24" i="30"/>
  <c r="E38" i="30"/>
  <c r="E15" i="30" s="1"/>
  <c r="J32" i="30"/>
  <c r="F38" i="30"/>
  <c r="J30" i="30"/>
  <c r="H29" i="30"/>
  <c r="D15" i="30"/>
  <c r="H8" i="30"/>
  <c r="H10" i="30" s="1"/>
  <c r="I9" i="30"/>
  <c r="F15" i="30"/>
  <c r="H25" i="30"/>
  <c r="J26" i="30"/>
  <c r="J25" i="30" s="1"/>
  <c r="I29" i="30"/>
  <c r="H28" i="30"/>
  <c r="I28" i="30" s="1"/>
  <c r="H31" i="30"/>
  <c r="K32" i="30"/>
  <c r="I31" i="30"/>
  <c r="O16" i="30"/>
  <c r="N16" i="30"/>
  <c r="M16" i="30"/>
  <c r="K16" i="30"/>
  <c r="J16" i="30"/>
  <c r="C64" i="30"/>
  <c r="L16" i="30"/>
  <c r="P16" i="30"/>
  <c r="H16" i="30"/>
  <c r="I16" i="30"/>
  <c r="G37" i="30"/>
  <c r="G38" i="30" s="1"/>
  <c r="G15" i="30" s="1"/>
  <c r="H34" i="30"/>
  <c r="I36" i="30"/>
  <c r="H14" i="30"/>
  <c r="J14" i="30" s="1"/>
  <c r="I14" i="30"/>
  <c r="O6" i="30"/>
  <c r="H36" i="30"/>
  <c r="J36" i="30" s="1"/>
  <c r="M25" i="30"/>
  <c r="N11" i="30"/>
  <c r="N25" i="30"/>
  <c r="L5" i="29"/>
  <c r="K16" i="29"/>
  <c r="H33" i="29"/>
  <c r="I24" i="29"/>
  <c r="H25" i="29"/>
  <c r="J26" i="29"/>
  <c r="J25" i="29" s="1"/>
  <c r="H34" i="29"/>
  <c r="H35" i="29"/>
  <c r="H28" i="29"/>
  <c r="I28" i="29" s="1"/>
  <c r="H29" i="29"/>
  <c r="I36" i="29"/>
  <c r="D38" i="29"/>
  <c r="D15" i="29" s="1"/>
  <c r="I30" i="29"/>
  <c r="N25" i="29"/>
  <c r="H9" i="29"/>
  <c r="H13" i="29"/>
  <c r="H32" i="29"/>
  <c r="I32" i="29" s="1"/>
  <c r="C37" i="29"/>
  <c r="O16" i="29"/>
  <c r="N16" i="29"/>
  <c r="C64" i="29"/>
  <c r="J16" i="29"/>
  <c r="I16" i="29"/>
  <c r="P16" i="29"/>
  <c r="H16" i="29"/>
  <c r="O6" i="29"/>
  <c r="N11" i="29"/>
  <c r="G37" i="29"/>
  <c r="G38" i="29" s="1"/>
  <c r="G15" i="29" s="1"/>
  <c r="E16" i="28"/>
  <c r="G16" i="28"/>
  <c r="K11" i="28" s="1"/>
  <c r="H41" i="28"/>
  <c r="D22" i="28"/>
  <c r="F16" i="28"/>
  <c r="I15" i="28"/>
  <c r="I10" i="28"/>
  <c r="E35" i="28"/>
  <c r="F23" i="28"/>
  <c r="F25" i="28" s="1"/>
  <c r="G23" i="28"/>
  <c r="G25" i="28" s="1"/>
  <c r="H12" i="28"/>
  <c r="H15" i="28" s="1"/>
  <c r="G32" i="28"/>
  <c r="F24" i="28"/>
  <c r="K6" i="28"/>
  <c r="D22" i="27"/>
  <c r="E24" i="27" s="1"/>
  <c r="F16" i="27"/>
  <c r="H41" i="27"/>
  <c r="H15" i="27"/>
  <c r="E36" i="27"/>
  <c r="E37" i="27" s="1"/>
  <c r="F35" i="27"/>
  <c r="E16" i="27"/>
  <c r="H16" i="27" s="1"/>
  <c r="G26" i="27"/>
  <c r="G16" i="27"/>
  <c r="H12" i="27"/>
  <c r="F32" i="27"/>
  <c r="F33" i="27" s="1"/>
  <c r="J7" i="27"/>
  <c r="J15" i="27" s="1"/>
  <c r="H22" i="27"/>
  <c r="F23" i="27"/>
  <c r="F25" i="27" s="1"/>
  <c r="G32" i="27"/>
  <c r="D36" i="27"/>
  <c r="D37" i="27" s="1"/>
  <c r="F24" i="27"/>
  <c r="I10" i="27"/>
  <c r="I15" i="27" s="1"/>
  <c r="D37" i="17"/>
  <c r="H34" i="17"/>
  <c r="C37" i="17"/>
  <c r="D38" i="17" s="1"/>
  <c r="D15" i="17" s="1"/>
  <c r="H32" i="17"/>
  <c r="H31" i="17" s="1"/>
  <c r="F37" i="17"/>
  <c r="G37" i="17"/>
  <c r="E37" i="17"/>
  <c r="H26" i="17"/>
  <c r="I25" i="17" s="1"/>
  <c r="H24" i="17"/>
  <c r="I24" i="17" s="1"/>
  <c r="H30" i="17"/>
  <c r="H29" i="17" s="1"/>
  <c r="H28" i="17"/>
  <c r="H27" i="17" s="1"/>
  <c r="H36" i="17"/>
  <c r="H35" i="17" s="1"/>
  <c r="H14" i="17"/>
  <c r="H13" i="17" s="1"/>
  <c r="N11" i="17"/>
  <c r="O11" i="17"/>
  <c r="H9" i="17"/>
  <c r="H8" i="17" s="1"/>
  <c r="H10" i="17" s="1"/>
  <c r="G24" i="25"/>
  <c r="G23" i="25"/>
  <c r="F15" i="25"/>
  <c r="G15" i="25"/>
  <c r="G25" i="25" s="1"/>
  <c r="E15" i="25"/>
  <c r="D15" i="25"/>
  <c r="D16" i="25" s="1"/>
  <c r="H10" i="25"/>
  <c r="I12" i="25"/>
  <c r="F33" i="25"/>
  <c r="G33" i="25"/>
  <c r="F23" i="25"/>
  <c r="F25" i="25" s="1"/>
  <c r="F24" i="25"/>
  <c r="C57" i="17"/>
  <c r="J24" i="29" l="1"/>
  <c r="I14" i="29"/>
  <c r="J14" i="29" s="1"/>
  <c r="J35" i="30"/>
  <c r="K36" i="30"/>
  <c r="J13" i="30"/>
  <c r="K14" i="30"/>
  <c r="I27" i="30"/>
  <c r="O31" i="30"/>
  <c r="P6" i="30"/>
  <c r="O11" i="30"/>
  <c r="O25" i="30"/>
  <c r="K23" i="30"/>
  <c r="J29" i="30"/>
  <c r="I34" i="30"/>
  <c r="I23" i="30"/>
  <c r="I13" i="30"/>
  <c r="H13" i="30"/>
  <c r="L31" i="30"/>
  <c r="N32" i="30"/>
  <c r="I8" i="30"/>
  <c r="I10" i="30" s="1"/>
  <c r="J9" i="30"/>
  <c r="J23" i="30"/>
  <c r="I35" i="30"/>
  <c r="K30" i="30"/>
  <c r="K28" i="30"/>
  <c r="H27" i="30"/>
  <c r="L24" i="30"/>
  <c r="L23" i="30" s="1"/>
  <c r="L14" i="30"/>
  <c r="L13" i="30" s="1"/>
  <c r="J28" i="30"/>
  <c r="H35" i="30"/>
  <c r="H37" i="30"/>
  <c r="H38" i="30" s="1"/>
  <c r="H15" i="30" s="1"/>
  <c r="H17" i="30" s="1"/>
  <c r="K31" i="30"/>
  <c r="M32" i="30"/>
  <c r="L32" i="30"/>
  <c r="I27" i="29"/>
  <c r="J28" i="29"/>
  <c r="K28" i="29"/>
  <c r="J31" i="29"/>
  <c r="I29" i="29"/>
  <c r="H31" i="29"/>
  <c r="I31" i="29"/>
  <c r="J32" i="29"/>
  <c r="K32" i="29" s="1"/>
  <c r="L32" i="29" s="1"/>
  <c r="L16" i="29"/>
  <c r="M5" i="29"/>
  <c r="M16" i="29" s="1"/>
  <c r="H27" i="29"/>
  <c r="J30" i="29"/>
  <c r="J23" i="29"/>
  <c r="I35" i="29"/>
  <c r="I23" i="29"/>
  <c r="H8" i="29"/>
  <c r="H10" i="29" s="1"/>
  <c r="I9" i="29"/>
  <c r="J36" i="29"/>
  <c r="P6" i="29"/>
  <c r="O25" i="29"/>
  <c r="O11" i="29"/>
  <c r="I34" i="29"/>
  <c r="K12" i="28"/>
  <c r="L11" i="28"/>
  <c r="M11" i="28" s="1"/>
  <c r="I41" i="28"/>
  <c r="D24" i="28"/>
  <c r="E23" i="28"/>
  <c r="D32" i="28"/>
  <c r="D23" i="28"/>
  <c r="E24" i="28"/>
  <c r="F26" i="28"/>
  <c r="G26" i="28"/>
  <c r="I22" i="28"/>
  <c r="L6" i="28"/>
  <c r="K7" i="28"/>
  <c r="K15" i="28" s="1"/>
  <c r="E36" i="28"/>
  <c r="E37" i="28" s="1"/>
  <c r="F35" i="28"/>
  <c r="K13" i="28"/>
  <c r="H25" i="28"/>
  <c r="G33" i="28"/>
  <c r="H16" i="28"/>
  <c r="K13" i="27"/>
  <c r="I22" i="27"/>
  <c r="F26" i="27"/>
  <c r="G27" i="27" s="1"/>
  <c r="H23" i="27"/>
  <c r="G33" i="27"/>
  <c r="I41" i="27"/>
  <c r="G29" i="27"/>
  <c r="K11" i="27"/>
  <c r="I16" i="27"/>
  <c r="F36" i="27"/>
  <c r="F37" i="27" s="1"/>
  <c r="G35" i="27"/>
  <c r="D23" i="27"/>
  <c r="D32" i="27"/>
  <c r="D24" i="27"/>
  <c r="E23" i="27"/>
  <c r="K6" i="27"/>
  <c r="I32" i="17"/>
  <c r="J31" i="17" s="1"/>
  <c r="F38" i="17"/>
  <c r="F15" i="17" s="1"/>
  <c r="I31" i="17"/>
  <c r="I34" i="17"/>
  <c r="J34" i="17" s="1"/>
  <c r="H25" i="17"/>
  <c r="H37" i="17" s="1"/>
  <c r="H38" i="17" s="1"/>
  <c r="H15" i="17" s="1"/>
  <c r="H17" i="17" s="1"/>
  <c r="I30" i="17"/>
  <c r="I29" i="17" s="1"/>
  <c r="G38" i="17"/>
  <c r="G15" i="17" s="1"/>
  <c r="J26" i="17"/>
  <c r="E38" i="17"/>
  <c r="E15" i="17" s="1"/>
  <c r="I9" i="17"/>
  <c r="I36" i="17"/>
  <c r="I14" i="17"/>
  <c r="I13" i="17" s="1"/>
  <c r="J24" i="17"/>
  <c r="I23" i="17"/>
  <c r="I28" i="17"/>
  <c r="F16" i="25"/>
  <c r="E16" i="25"/>
  <c r="G16" i="25"/>
  <c r="K13" i="25" s="1"/>
  <c r="G26" i="25"/>
  <c r="K14" i="25"/>
  <c r="L13" i="25"/>
  <c r="M13" i="25" s="1"/>
  <c r="D22" i="25"/>
  <c r="E23" i="25" s="1"/>
  <c r="E25" i="25" s="1"/>
  <c r="M33" i="25"/>
  <c r="F26" i="25"/>
  <c r="C64" i="17"/>
  <c r="J32" i="17" l="1"/>
  <c r="K31" i="17" s="1"/>
  <c r="J13" i="29"/>
  <c r="H37" i="29"/>
  <c r="H38" i="29" s="1"/>
  <c r="H15" i="29" s="1"/>
  <c r="H17" i="29" s="1"/>
  <c r="I13" i="29"/>
  <c r="K14" i="29"/>
  <c r="K24" i="29"/>
  <c r="K23" i="29" s="1"/>
  <c r="J8" i="30"/>
  <c r="J10" i="30" s="1"/>
  <c r="K9" i="30"/>
  <c r="K27" i="30"/>
  <c r="P11" i="30"/>
  <c r="P25" i="30"/>
  <c r="K13" i="30"/>
  <c r="L28" i="30"/>
  <c r="L27" i="30" s="1"/>
  <c r="K29" i="30"/>
  <c r="L30" i="30"/>
  <c r="K35" i="30"/>
  <c r="I33" i="30"/>
  <c r="I37" i="30" s="1"/>
  <c r="I38" i="30" s="1"/>
  <c r="I15" i="30" s="1"/>
  <c r="I17" i="30" s="1"/>
  <c r="J34" i="30"/>
  <c r="O32" i="30"/>
  <c r="P31" i="30" s="1"/>
  <c r="M31" i="30"/>
  <c r="M24" i="30"/>
  <c r="M23" i="30" s="1"/>
  <c r="P32" i="30"/>
  <c r="N31" i="30"/>
  <c r="J27" i="30"/>
  <c r="M14" i="30"/>
  <c r="M30" i="30"/>
  <c r="N30" i="30" s="1"/>
  <c r="N29" i="30" s="1"/>
  <c r="L36" i="30"/>
  <c r="M31" i="29"/>
  <c r="I33" i="29"/>
  <c r="I37" i="29" s="1"/>
  <c r="I38" i="29" s="1"/>
  <c r="K34" i="29"/>
  <c r="J34" i="29"/>
  <c r="J29" i="29"/>
  <c r="L31" i="29"/>
  <c r="J35" i="29"/>
  <c r="K36" i="29"/>
  <c r="L36" i="29" s="1"/>
  <c r="L35" i="29" s="1"/>
  <c r="I8" i="29"/>
  <c r="I10" i="29" s="1"/>
  <c r="J9" i="29"/>
  <c r="K27" i="29"/>
  <c r="J27" i="29"/>
  <c r="P11" i="29"/>
  <c r="P25" i="29"/>
  <c r="M32" i="29"/>
  <c r="K31" i="29"/>
  <c r="L28" i="29"/>
  <c r="K30" i="29"/>
  <c r="L30" i="29"/>
  <c r="E25" i="28"/>
  <c r="E26" i="28"/>
  <c r="F27" i="28" s="1"/>
  <c r="L7" i="28"/>
  <c r="L15" i="28" s="1"/>
  <c r="D33" i="28"/>
  <c r="E33" i="28"/>
  <c r="F29" i="28"/>
  <c r="I16" i="28"/>
  <c r="F36" i="28"/>
  <c r="F37" i="28" s="1"/>
  <c r="G35" i="28"/>
  <c r="J41" i="28"/>
  <c r="J23" i="28"/>
  <c r="J16" i="28"/>
  <c r="G29" i="28"/>
  <c r="G27" i="28"/>
  <c r="K14" i="28"/>
  <c r="L13" i="28"/>
  <c r="M13" i="28" s="1"/>
  <c r="D26" i="28"/>
  <c r="D29" i="28" s="1"/>
  <c r="D25" i="28"/>
  <c r="H26" i="28"/>
  <c r="H27" i="28" s="1"/>
  <c r="D33" i="27"/>
  <c r="E33" i="27"/>
  <c r="J41" i="27"/>
  <c r="H26" i="27"/>
  <c r="H27" i="27" s="1"/>
  <c r="F29" i="27"/>
  <c r="F27" i="27"/>
  <c r="H30" i="27"/>
  <c r="D26" i="27"/>
  <c r="D29" i="27" s="1"/>
  <c r="D25" i="27"/>
  <c r="J22" i="27"/>
  <c r="J23" i="27" s="1"/>
  <c r="G36" i="27"/>
  <c r="H35" i="27"/>
  <c r="I23" i="27"/>
  <c r="K7" i="27"/>
  <c r="K15" i="27"/>
  <c r="L6" i="27"/>
  <c r="K14" i="27"/>
  <c r="L13" i="27"/>
  <c r="M13" i="27" s="1"/>
  <c r="E25" i="27"/>
  <c r="E26" i="27"/>
  <c r="K12" i="27"/>
  <c r="L11" i="27"/>
  <c r="M11" i="27" s="1"/>
  <c r="J16" i="27"/>
  <c r="K16" i="27" s="1"/>
  <c r="L16" i="27"/>
  <c r="M16" i="27" s="1"/>
  <c r="K32" i="17"/>
  <c r="L31" i="17" s="1"/>
  <c r="J33" i="17"/>
  <c r="I33" i="17"/>
  <c r="K34" i="17"/>
  <c r="J30" i="17"/>
  <c r="J29" i="17" s="1"/>
  <c r="J14" i="17"/>
  <c r="K14" i="17" s="1"/>
  <c r="J25" i="17"/>
  <c r="J9" i="17"/>
  <c r="I8" i="17"/>
  <c r="I10" i="17" s="1"/>
  <c r="J28" i="17"/>
  <c r="I27" i="17"/>
  <c r="K25" i="17"/>
  <c r="I35" i="17"/>
  <c r="J36" i="17"/>
  <c r="J23" i="17"/>
  <c r="K24" i="17"/>
  <c r="H16" i="25"/>
  <c r="I16" i="25" s="1"/>
  <c r="J16" i="25" s="1"/>
  <c r="K11" i="25"/>
  <c r="E24" i="25"/>
  <c r="K12" i="25"/>
  <c r="L11" i="25"/>
  <c r="M11" i="25" s="1"/>
  <c r="K16" i="25"/>
  <c r="I7" i="25"/>
  <c r="H7" i="25"/>
  <c r="H15" i="25" s="1"/>
  <c r="D32" i="25"/>
  <c r="D33" i="25" s="1"/>
  <c r="D23" i="25"/>
  <c r="D25" i="25" s="1"/>
  <c r="E26" i="25"/>
  <c r="E29" i="25" s="1"/>
  <c r="D24" i="25"/>
  <c r="G27" i="25"/>
  <c r="G29" i="25"/>
  <c r="F29" i="25"/>
  <c r="K30" i="17" l="1"/>
  <c r="K29" i="17" s="1"/>
  <c r="L24" i="29"/>
  <c r="L23" i="29" s="1"/>
  <c r="L14" i="29"/>
  <c r="L13" i="29" s="1"/>
  <c r="K13" i="29"/>
  <c r="M14" i="29"/>
  <c r="M13" i="29" s="1"/>
  <c r="N36" i="30"/>
  <c r="N35" i="30" s="1"/>
  <c r="K8" i="30"/>
  <c r="K10" i="30" s="1"/>
  <c r="L9" i="30"/>
  <c r="P30" i="30"/>
  <c r="P29" i="30" s="1"/>
  <c r="M29" i="30"/>
  <c r="O24" i="30"/>
  <c r="O23" i="30" s="1"/>
  <c r="L35" i="30"/>
  <c r="M36" i="30"/>
  <c r="M28" i="30"/>
  <c r="M13" i="30"/>
  <c r="O14" i="30"/>
  <c r="O13" i="30" s="1"/>
  <c r="N24" i="30"/>
  <c r="N23" i="30" s="1"/>
  <c r="J33" i="30"/>
  <c r="J37" i="30" s="1"/>
  <c r="J38" i="30" s="1"/>
  <c r="J15" i="30" s="1"/>
  <c r="J17" i="30" s="1"/>
  <c r="K34" i="30"/>
  <c r="O30" i="30"/>
  <c r="O29" i="30" s="1"/>
  <c r="L29" i="30"/>
  <c r="N14" i="30"/>
  <c r="N13" i="30" s="1"/>
  <c r="N31" i="29"/>
  <c r="L34" i="29"/>
  <c r="L33" i="29" s="1"/>
  <c r="K35" i="29"/>
  <c r="J33" i="29"/>
  <c r="J37" i="29" s="1"/>
  <c r="J38" i="29" s="1"/>
  <c r="L29" i="29"/>
  <c r="K33" i="29"/>
  <c r="N32" i="29"/>
  <c r="O31" i="29" s="1"/>
  <c r="I15" i="29"/>
  <c r="I17" i="29" s="1"/>
  <c r="M36" i="29"/>
  <c r="M35" i="29" s="1"/>
  <c r="K29" i="29"/>
  <c r="M34" i="29"/>
  <c r="M33" i="29" s="1"/>
  <c r="K9" i="29"/>
  <c r="J8" i="29"/>
  <c r="J10" i="29" s="1"/>
  <c r="L27" i="29"/>
  <c r="M28" i="29"/>
  <c r="N28" i="29"/>
  <c r="N27" i="29" s="1"/>
  <c r="M30" i="29"/>
  <c r="N30" i="29" s="1"/>
  <c r="N29" i="29" s="1"/>
  <c r="G36" i="28"/>
  <c r="H35" i="28"/>
  <c r="M6" i="28"/>
  <c r="H30" i="28"/>
  <c r="H28" i="28"/>
  <c r="G30" i="28"/>
  <c r="E29" i="28"/>
  <c r="E30" i="28" s="1"/>
  <c r="E27" i="28"/>
  <c r="J26" i="28"/>
  <c r="J27" i="28" s="1"/>
  <c r="F30" i="28"/>
  <c r="K41" i="28"/>
  <c r="H33" i="28"/>
  <c r="H32" i="28" s="1"/>
  <c r="K16" i="28"/>
  <c r="L16" i="28" s="1"/>
  <c r="M16" i="28" s="1"/>
  <c r="K22" i="28"/>
  <c r="K23" i="28" s="1"/>
  <c r="K26" i="28" s="1"/>
  <c r="I27" i="28"/>
  <c r="H37" i="27"/>
  <c r="G37" i="27"/>
  <c r="J26" i="27"/>
  <c r="L7" i="27"/>
  <c r="M6" i="27" s="1"/>
  <c r="F30" i="27"/>
  <c r="K22" i="27"/>
  <c r="K23" i="27" s="1"/>
  <c r="G30" i="27"/>
  <c r="K41" i="27"/>
  <c r="I26" i="27"/>
  <c r="I27" i="27" s="1"/>
  <c r="E29" i="27"/>
  <c r="E30" i="27" s="1"/>
  <c r="E27" i="27"/>
  <c r="I35" i="27"/>
  <c r="H38" i="27"/>
  <c r="H28" i="27"/>
  <c r="H33" i="27"/>
  <c r="H32" i="27" s="1"/>
  <c r="I37" i="17"/>
  <c r="I38" i="17" s="1"/>
  <c r="I15" i="17" s="1"/>
  <c r="I17" i="17" s="1"/>
  <c r="L32" i="17"/>
  <c r="K33" i="17"/>
  <c r="L34" i="17"/>
  <c r="L33" i="17" s="1"/>
  <c r="J13" i="17"/>
  <c r="L30" i="17"/>
  <c r="M30" i="17" s="1"/>
  <c r="K9" i="17"/>
  <c r="J8" i="17"/>
  <c r="J10" i="17" s="1"/>
  <c r="J35" i="17"/>
  <c r="K36" i="17"/>
  <c r="K23" i="17"/>
  <c r="L24" i="17"/>
  <c r="L23" i="17" s="1"/>
  <c r="M26" i="17"/>
  <c r="L25" i="17"/>
  <c r="L29" i="17"/>
  <c r="J27" i="17"/>
  <c r="K28" i="17"/>
  <c r="K13" i="17"/>
  <c r="L14" i="17"/>
  <c r="M14" i="17" s="1"/>
  <c r="M13" i="17" s="1"/>
  <c r="G30" i="25"/>
  <c r="D26" i="25"/>
  <c r="E27" i="25" s="1"/>
  <c r="J6" i="25"/>
  <c r="I15" i="25"/>
  <c r="L16" i="25"/>
  <c r="M16" i="25" s="1"/>
  <c r="E33" i="25"/>
  <c r="H33" i="25" s="1"/>
  <c r="H32" i="25" s="1"/>
  <c r="F27" i="25"/>
  <c r="F30" i="25"/>
  <c r="J37" i="17" l="1"/>
  <c r="J38" i="17" s="1"/>
  <c r="J15" i="17" s="1"/>
  <c r="J17" i="17" s="1"/>
  <c r="K26" i="27"/>
  <c r="K27" i="27" s="1"/>
  <c r="O32" i="29"/>
  <c r="P31" i="29" s="1"/>
  <c r="K37" i="29"/>
  <c r="K38" i="29" s="1"/>
  <c r="N14" i="29"/>
  <c r="N13" i="29" s="1"/>
  <c r="M24" i="29"/>
  <c r="N24" i="29" s="1"/>
  <c r="M27" i="30"/>
  <c r="M35" i="30"/>
  <c r="P36" i="30"/>
  <c r="P35" i="30" s="1"/>
  <c r="N28" i="30"/>
  <c r="L8" i="30"/>
  <c r="L10" i="30" s="1"/>
  <c r="M9" i="30"/>
  <c r="P24" i="30"/>
  <c r="P23" i="30" s="1"/>
  <c r="K33" i="30"/>
  <c r="K37" i="30" s="1"/>
  <c r="K38" i="30" s="1"/>
  <c r="K15" i="30" s="1"/>
  <c r="K17" i="30" s="1"/>
  <c r="L34" i="30"/>
  <c r="O36" i="30"/>
  <c r="O35" i="30" s="1"/>
  <c r="P14" i="30"/>
  <c r="P13" i="30" s="1"/>
  <c r="N34" i="29"/>
  <c r="N33" i="29" s="1"/>
  <c r="M27" i="29"/>
  <c r="O28" i="29"/>
  <c r="O27" i="29" s="1"/>
  <c r="O30" i="29"/>
  <c r="O29" i="29" s="1"/>
  <c r="M29" i="29"/>
  <c r="L37" i="29"/>
  <c r="O34" i="29"/>
  <c r="O33" i="29" s="1"/>
  <c r="P32" i="29"/>
  <c r="J15" i="29"/>
  <c r="J17" i="29" s="1"/>
  <c r="N36" i="29"/>
  <c r="L9" i="29"/>
  <c r="K8" i="29"/>
  <c r="K10" i="29" s="1"/>
  <c r="L22" i="28"/>
  <c r="I35" i="28"/>
  <c r="H38" i="28"/>
  <c r="L41" i="28"/>
  <c r="G37" i="28"/>
  <c r="H37" i="28"/>
  <c r="K27" i="28"/>
  <c r="M7" i="28"/>
  <c r="M15" i="28"/>
  <c r="I32" i="28"/>
  <c r="I28" i="28"/>
  <c r="M7" i="27"/>
  <c r="M15" i="27"/>
  <c r="I32" i="27"/>
  <c r="I28" i="27"/>
  <c r="L15" i="27"/>
  <c r="L41" i="27"/>
  <c r="J27" i="27"/>
  <c r="H39" i="27"/>
  <c r="H44" i="27"/>
  <c r="J35" i="27"/>
  <c r="I38" i="27"/>
  <c r="L22" i="27"/>
  <c r="M31" i="17"/>
  <c r="M32" i="17"/>
  <c r="N32" i="17" s="1"/>
  <c r="O31" i="17" s="1"/>
  <c r="M34" i="17"/>
  <c r="M33" i="17" s="1"/>
  <c r="M24" i="17"/>
  <c r="M23" i="17" s="1"/>
  <c r="L9" i="17"/>
  <c r="K8" i="17"/>
  <c r="K10" i="17" s="1"/>
  <c r="M29" i="17"/>
  <c r="N30" i="17"/>
  <c r="N29" i="17" s="1"/>
  <c r="K35" i="17"/>
  <c r="L28" i="17"/>
  <c r="K27" i="17"/>
  <c r="N26" i="17"/>
  <c r="M25" i="17"/>
  <c r="L36" i="17"/>
  <c r="L13" i="17"/>
  <c r="N14" i="17"/>
  <c r="D29" i="25"/>
  <c r="E30" i="25" s="1"/>
  <c r="J7" i="25"/>
  <c r="K6" i="25" s="1"/>
  <c r="I32" i="25"/>
  <c r="J32" i="25" s="1"/>
  <c r="K32" i="25" s="1"/>
  <c r="L32" i="25" s="1"/>
  <c r="O30" i="17" l="1"/>
  <c r="N23" i="29"/>
  <c r="M23" i="29"/>
  <c r="O24" i="29"/>
  <c r="O23" i="29" s="1"/>
  <c r="M37" i="29"/>
  <c r="M38" i="29" s="1"/>
  <c r="K15" i="29"/>
  <c r="K17" i="29" s="1"/>
  <c r="L38" i="29"/>
  <c r="O14" i="29"/>
  <c r="M8" i="30"/>
  <c r="M10" i="30" s="1"/>
  <c r="N9" i="30"/>
  <c r="L33" i="30"/>
  <c r="L37" i="30" s="1"/>
  <c r="L38" i="30" s="1"/>
  <c r="L15" i="30" s="1"/>
  <c r="L17" i="30" s="1"/>
  <c r="M34" i="30"/>
  <c r="N27" i="30"/>
  <c r="O28" i="30"/>
  <c r="P28" i="29"/>
  <c r="P27" i="29" s="1"/>
  <c r="P34" i="29"/>
  <c r="P33" i="29" s="1"/>
  <c r="M9" i="29"/>
  <c r="L8" i="29"/>
  <c r="L10" i="29" s="1"/>
  <c r="N35" i="29"/>
  <c r="N37" i="29" s="1"/>
  <c r="O36" i="29"/>
  <c r="P30" i="29"/>
  <c r="P29" i="29" s="1"/>
  <c r="H39" i="28"/>
  <c r="H44" i="28"/>
  <c r="J32" i="28"/>
  <c r="J28" i="28"/>
  <c r="M41" i="28"/>
  <c r="M22" i="28"/>
  <c r="M23" i="28" s="1"/>
  <c r="J35" i="28"/>
  <c r="I38" i="28"/>
  <c r="L23" i="28"/>
  <c r="I39" i="27"/>
  <c r="I44" i="27"/>
  <c r="M22" i="27"/>
  <c r="M23" i="27" s="1"/>
  <c r="L23" i="27"/>
  <c r="M41" i="27"/>
  <c r="K35" i="27"/>
  <c r="J38" i="27"/>
  <c r="J32" i="27"/>
  <c r="J28" i="27"/>
  <c r="N31" i="17"/>
  <c r="O32" i="17"/>
  <c r="P31" i="17" s="1"/>
  <c r="N34" i="17"/>
  <c r="N33" i="17" s="1"/>
  <c r="O34" i="17"/>
  <c r="O33" i="17" s="1"/>
  <c r="P34" i="17"/>
  <c r="P33" i="17" s="1"/>
  <c r="K37" i="17"/>
  <c r="K38" i="17" s="1"/>
  <c r="K15" i="17" s="1"/>
  <c r="K17" i="17" s="1"/>
  <c r="N24" i="17"/>
  <c r="M9" i="17"/>
  <c r="L8" i="17"/>
  <c r="L10" i="17" s="1"/>
  <c r="P30" i="17"/>
  <c r="P29" i="17" s="1"/>
  <c r="O29" i="17"/>
  <c r="L35" i="17"/>
  <c r="O26" i="17"/>
  <c r="N25" i="17"/>
  <c r="L27" i="17"/>
  <c r="M28" i="17"/>
  <c r="M36" i="17"/>
  <c r="N13" i="17"/>
  <c r="O14" i="17"/>
  <c r="M32" i="25"/>
  <c r="L6" i="25"/>
  <c r="K7" i="25"/>
  <c r="K15" i="25"/>
  <c r="P14" i="29" l="1"/>
  <c r="P13" i="29" s="1"/>
  <c r="O13" i="29"/>
  <c r="N38" i="29"/>
  <c r="L15" i="29"/>
  <c r="L17" i="29" s="1"/>
  <c r="P24" i="29"/>
  <c r="P23" i="29" s="1"/>
  <c r="M33" i="30"/>
  <c r="M37" i="30" s="1"/>
  <c r="M38" i="30" s="1"/>
  <c r="N34" i="30"/>
  <c r="N33" i="30" s="1"/>
  <c r="N37" i="30" s="1"/>
  <c r="N38" i="30" s="1"/>
  <c r="N8" i="30"/>
  <c r="N10" i="30" s="1"/>
  <c r="O9" i="30"/>
  <c r="M15" i="30"/>
  <c r="M17" i="30" s="1"/>
  <c r="O27" i="30"/>
  <c r="P28" i="30"/>
  <c r="P27" i="30" s="1"/>
  <c r="M8" i="29"/>
  <c r="M10" i="29" s="1"/>
  <c r="M15" i="29" s="1"/>
  <c r="M17" i="29" s="1"/>
  <c r="N9" i="29"/>
  <c r="O35" i="29"/>
  <c r="O37" i="29" s="1"/>
  <c r="O38" i="29" s="1"/>
  <c r="P36" i="29"/>
  <c r="P35" i="29" s="1"/>
  <c r="P37" i="29" s="1"/>
  <c r="P38" i="29" s="1"/>
  <c r="M26" i="28"/>
  <c r="L26" i="28"/>
  <c r="L27" i="28" s="1"/>
  <c r="I39" i="28"/>
  <c r="I44" i="28"/>
  <c r="K32" i="28"/>
  <c r="K28" i="28"/>
  <c r="J38" i="28"/>
  <c r="K35" i="28"/>
  <c r="M26" i="27"/>
  <c r="K28" i="27"/>
  <c r="K32" i="27"/>
  <c r="J39" i="27"/>
  <c r="J44" i="27"/>
  <c r="K38" i="27"/>
  <c r="L35" i="27"/>
  <c r="L26" i="27"/>
  <c r="L27" i="27" s="1"/>
  <c r="P32" i="17"/>
  <c r="L37" i="17"/>
  <c r="L38" i="17" s="1"/>
  <c r="L15" i="17" s="1"/>
  <c r="L17" i="17" s="1"/>
  <c r="O24" i="17"/>
  <c r="N23" i="17"/>
  <c r="N9" i="17"/>
  <c r="M8" i="17"/>
  <c r="M10" i="17" s="1"/>
  <c r="M35" i="17"/>
  <c r="N36" i="17"/>
  <c r="M27" i="17"/>
  <c r="N28" i="17"/>
  <c r="N27" i="17" s="1"/>
  <c r="P25" i="17"/>
  <c r="O25" i="17"/>
  <c r="P14" i="17"/>
  <c r="P13" i="17" s="1"/>
  <c r="O13" i="17"/>
  <c r="L7" i="25"/>
  <c r="M6" i="25" s="1"/>
  <c r="L15" i="25"/>
  <c r="P9" i="30" l="1"/>
  <c r="P8" i="30" s="1"/>
  <c r="O8" i="30"/>
  <c r="O10" i="30" s="1"/>
  <c r="N15" i="30"/>
  <c r="N17" i="30" s="1"/>
  <c r="O34" i="30"/>
  <c r="O33" i="30" s="1"/>
  <c r="O37" i="30" s="1"/>
  <c r="O38" i="30" s="1"/>
  <c r="N8" i="29"/>
  <c r="N10" i="29" s="1"/>
  <c r="N15" i="29" s="1"/>
  <c r="N17" i="29" s="1"/>
  <c r="O9" i="29"/>
  <c r="K38" i="28"/>
  <c r="L35" i="28"/>
  <c r="L32" i="28"/>
  <c r="L28" i="28"/>
  <c r="M27" i="28"/>
  <c r="J39" i="28"/>
  <c r="J44" i="28"/>
  <c r="L38" i="27"/>
  <c r="M35" i="27"/>
  <c r="M38" i="27" s="1"/>
  <c r="L32" i="27"/>
  <c r="L28" i="27"/>
  <c r="K39" i="27"/>
  <c r="K44" i="27"/>
  <c r="M27" i="27"/>
  <c r="M37" i="17"/>
  <c r="M38" i="17" s="1"/>
  <c r="M15" i="17" s="1"/>
  <c r="M17" i="17" s="1"/>
  <c r="P24" i="17"/>
  <c r="P23" i="17" s="1"/>
  <c r="O23" i="17"/>
  <c r="O9" i="17"/>
  <c r="N8" i="17"/>
  <c r="N10" i="17" s="1"/>
  <c r="O28" i="17"/>
  <c r="N35" i="17"/>
  <c r="O36" i="17"/>
  <c r="M7" i="25"/>
  <c r="M15" i="25" s="1"/>
  <c r="O15" i="30" l="1"/>
  <c r="O17" i="30" s="1"/>
  <c r="P10" i="30"/>
  <c r="P34" i="30"/>
  <c r="P33" i="30" s="1"/>
  <c r="P37" i="30" s="1"/>
  <c r="P38" i="30" s="1"/>
  <c r="P9" i="29"/>
  <c r="P8" i="29" s="1"/>
  <c r="O8" i="29"/>
  <c r="O10" i="29" s="1"/>
  <c r="O15" i="29" s="1"/>
  <c r="O17" i="29" s="1"/>
  <c r="K39" i="28"/>
  <c r="K44" i="28"/>
  <c r="M28" i="28"/>
  <c r="M32" i="28"/>
  <c r="M35" i="28"/>
  <c r="M38" i="28" s="1"/>
  <c r="L38" i="28"/>
  <c r="M32" i="27"/>
  <c r="M28" i="27"/>
  <c r="M44" i="27" s="1"/>
  <c r="M39" i="27"/>
  <c r="L39" i="27"/>
  <c r="L44" i="27"/>
  <c r="N37" i="17"/>
  <c r="N38" i="17" s="1"/>
  <c r="N15" i="17" s="1"/>
  <c r="N17" i="17" s="1"/>
  <c r="P9" i="17"/>
  <c r="P8" i="17" s="1"/>
  <c r="O8" i="17"/>
  <c r="O10" i="17" s="1"/>
  <c r="P36" i="17"/>
  <c r="P35" i="17" s="1"/>
  <c r="O35" i="17"/>
  <c r="P28" i="17"/>
  <c r="P27" i="17" s="1"/>
  <c r="P37" i="17" s="1"/>
  <c r="O27" i="17"/>
  <c r="P10" i="17" l="1"/>
  <c r="P15" i="30"/>
  <c r="P17" i="30" s="1"/>
  <c r="C65" i="30" s="1"/>
  <c r="C66" i="30" s="1"/>
  <c r="C68" i="30" s="1"/>
  <c r="C71" i="30" s="1"/>
  <c r="C72" i="30" s="1"/>
  <c r="C79" i="29"/>
  <c r="C81" i="29" s="1"/>
  <c r="C83" i="29" s="1"/>
  <c r="C86" i="29" s="1"/>
  <c r="C87" i="29" s="1"/>
  <c r="C78" i="29"/>
  <c r="P10" i="29"/>
  <c r="P15" i="29" s="1"/>
  <c r="P17" i="29" s="1"/>
  <c r="C65" i="29" s="1"/>
  <c r="C66" i="29" s="1"/>
  <c r="C68" i="29" s="1"/>
  <c r="C71" i="29" s="1"/>
  <c r="C72" i="29" s="1"/>
  <c r="L39" i="28"/>
  <c r="L44" i="28"/>
  <c r="M39" i="28"/>
  <c r="M44" i="28"/>
  <c r="O37" i="17"/>
  <c r="O38" i="17" s="1"/>
  <c r="O15" i="17" s="1"/>
  <c r="O17" i="17" s="1"/>
  <c r="P38" i="17" l="1"/>
  <c r="P15" i="17" s="1"/>
  <c r="P17" i="17" s="1"/>
  <c r="C65" i="17" s="1"/>
  <c r="C66" i="17" s="1"/>
  <c r="C68" i="17" s="1"/>
  <c r="C71" i="17" s="1"/>
  <c r="C72" i="17" s="1"/>
  <c r="H25" i="25" l="1"/>
  <c r="J22" i="25"/>
  <c r="K22" i="25" s="1"/>
  <c r="H27" i="25"/>
  <c r="H28" i="25"/>
  <c r="H44" i="25" s="1"/>
  <c r="K23" i="25" l="1"/>
  <c r="J23" i="25"/>
  <c r="I23" i="25"/>
  <c r="K25" i="25"/>
  <c r="J25" i="25"/>
  <c r="L22" i="25"/>
  <c r="L23" i="25" s="1"/>
  <c r="I26" i="25" l="1"/>
  <c r="I25" i="25"/>
  <c r="L26" i="25"/>
  <c r="L25" i="25"/>
  <c r="M22" i="25"/>
  <c r="M23" i="25"/>
  <c r="J27" i="25"/>
  <c r="K28" i="25"/>
  <c r="K44" i="25" s="1"/>
  <c r="K27" i="25"/>
  <c r="I27" i="25" l="1"/>
  <c r="I28" i="25"/>
  <c r="M25" i="25"/>
  <c r="M26" i="25"/>
  <c r="L27" i="25"/>
  <c r="L28" i="25"/>
  <c r="L44" i="25" s="1"/>
  <c r="M27" i="25" l="1"/>
  <c r="M28" i="25"/>
  <c r="M44" i="25" s="1"/>
</calcChain>
</file>

<file path=xl/sharedStrings.xml><?xml version="1.0" encoding="utf-8"?>
<sst xmlns="http://schemas.openxmlformats.org/spreadsheetml/2006/main" count="331" uniqueCount="85">
  <si>
    <t>Historical</t>
  </si>
  <si>
    <t>Projected</t>
  </si>
  <si>
    <t>Current Stock Price</t>
  </si>
  <si>
    <t>Shares Outstanding</t>
  </si>
  <si>
    <t>Market Capitalization</t>
  </si>
  <si>
    <t>Debt</t>
  </si>
  <si>
    <t>E / (E+D)</t>
  </si>
  <si>
    <t>D / (E+D)</t>
  </si>
  <si>
    <t>Risk Free Rate</t>
  </si>
  <si>
    <t>Beta</t>
  </si>
  <si>
    <t>Market Risk Premium</t>
  </si>
  <si>
    <t>Cost of Equity</t>
  </si>
  <si>
    <t>Cost of Debt</t>
  </si>
  <si>
    <t>Tax Rate</t>
  </si>
  <si>
    <t>WACC</t>
  </si>
  <si>
    <t>Terminal Cash Flow Calculations</t>
  </si>
  <si>
    <t>Terminal Growth Rate</t>
  </si>
  <si>
    <t>Terminal Value</t>
  </si>
  <si>
    <t>Present Value of Terminal Cash Flows</t>
  </si>
  <si>
    <t>Implied Enterprise Value of Firm</t>
  </si>
  <si>
    <t>Implied Equity Value</t>
  </si>
  <si>
    <t>Implied Price Per Share</t>
  </si>
  <si>
    <t>Implied Premium (Discount)</t>
  </si>
  <si>
    <t>Exit Multiple Based Calculations</t>
  </si>
  <si>
    <t>Accounts Receivable</t>
  </si>
  <si>
    <t xml:space="preserve">Accounts Payable </t>
  </si>
  <si>
    <t xml:space="preserve">Net Working Capital </t>
  </si>
  <si>
    <t>Present Value of Sum of 13 Years Free Cash Flows</t>
  </si>
  <si>
    <t>-</t>
  </si>
  <si>
    <t>(In millions USD)</t>
  </si>
  <si>
    <t xml:space="preserve">(% Revenue) </t>
  </si>
  <si>
    <t>(% Revenue )</t>
  </si>
  <si>
    <t>(Δ Net Working Capital)</t>
  </si>
  <si>
    <t>Inventories</t>
  </si>
  <si>
    <t>Total Revenue</t>
  </si>
  <si>
    <t>Deferred Tax + Other Current Assets</t>
  </si>
  <si>
    <t>Accrued Expenses/ Liabilities</t>
  </si>
  <si>
    <t>Defered Tax</t>
  </si>
  <si>
    <t xml:space="preserve">Advances and Progress Billing </t>
  </si>
  <si>
    <t xml:space="preserve">Revenue </t>
  </si>
  <si>
    <t xml:space="preserve">Revenue Growth </t>
  </si>
  <si>
    <t>% Revenue</t>
  </si>
  <si>
    <t>+ D&amp;A</t>
  </si>
  <si>
    <t>- CapEx</t>
  </si>
  <si>
    <t>FCFF</t>
  </si>
  <si>
    <t xml:space="preserve">Discounted FCFF </t>
  </si>
  <si>
    <t xml:space="preserve">NOPAT </t>
  </si>
  <si>
    <t># of 737 Orders</t>
  </si>
  <si>
    <t># of 747 Orders</t>
  </si>
  <si>
    <t>Growth Rate of # Airplane Orders</t>
  </si>
  <si>
    <t># of 767 Orders</t>
  </si>
  <si>
    <t># of 777 Orders</t>
  </si>
  <si>
    <t xml:space="preserve"># of 787 Orders </t>
  </si>
  <si>
    <t xml:space="preserve"># of 737 Backlog </t>
  </si>
  <si>
    <t># of 747 Backlog</t>
  </si>
  <si>
    <t># of 767 Backlog</t>
  </si>
  <si>
    <t># of 777 Backlog</t>
  </si>
  <si>
    <t xml:space="preserve"># of 787 Backlog </t>
  </si>
  <si>
    <t>Total Backlog</t>
  </si>
  <si>
    <t xml:space="preserve">Backlog Value (Commericial Airplane Sector) </t>
  </si>
  <si>
    <t>Avg. Value of Backlog Airplane</t>
  </si>
  <si>
    <t>Growth Rate of Airplane # Backlog</t>
  </si>
  <si>
    <t>Total # of Airplane Orders</t>
  </si>
  <si>
    <t xml:space="preserve">Revenue (Commerical Airplane Sector) </t>
  </si>
  <si>
    <t xml:space="preserve">Incremental Decrease in Backlog </t>
  </si>
  <si>
    <t xml:space="preserve">Conversion Rate of # Orders to Backlog </t>
  </si>
  <si>
    <t>Avg. Value of Plane Delivered</t>
  </si>
  <si>
    <t xml:space="preserve">Effective Total # Airplanes Delivered </t>
  </si>
  <si>
    <t xml:space="preserve">Growth in Rate of # Airplane Delivery </t>
  </si>
  <si>
    <t>Growth in Avg. Value of Backlog Airplane</t>
  </si>
  <si>
    <t xml:space="preserve">Growth in Avg. Value of Plane Delivered </t>
  </si>
  <si>
    <t xml:space="preserve">Defense, Space, and Security </t>
  </si>
  <si>
    <t xml:space="preserve">Commercial Airplanes </t>
  </si>
  <si>
    <t>Global Services</t>
  </si>
  <si>
    <t xml:space="preserve">Market Share </t>
  </si>
  <si>
    <t xml:space="preserve">Growth in Market Share </t>
  </si>
  <si>
    <t>Growth</t>
  </si>
  <si>
    <t>The three cases are a effectively a function of the conversion rate</t>
  </si>
  <si>
    <t>Market Value</t>
  </si>
  <si>
    <t>% Revenue (Operating Margin)</t>
  </si>
  <si>
    <t xml:space="preserve">EBIT (Operating Income) </t>
  </si>
  <si>
    <t>WACC Calculations (in millions USD)</t>
  </si>
  <si>
    <t xml:space="preserve">Discount Factor </t>
  </si>
  <si>
    <t>EV/EBIT Exit Multiple</t>
  </si>
  <si>
    <t>Conversion Rate of # Orders to Backlog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</si>
</sst>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0.0%"/>
    <numFmt numFmtId="166" formatCode="&quot;$&quot;#,##0.00"/>
    <numFmt numFmtId="167" formatCode="0.0\x"/>
    <numFmt numFmtId="168" formatCode="#,##0.00;\(#,##0.00\)"/>
    <numFmt numFmtId="171" formatCode="_(&quot;$&quot;* #,##0_);_(&quot;$&quot;* \(#,##0\);_(&quot;$&quot;* &quot;-&quot;??_);_(@_)"/>
    <numFmt numFmtId="179" formatCode="_(* #,##0_);_(* \(#,##0\);_(* &quot;-&quot;??_);_(@_)"/>
    <numFmt numFmtId="192" formatCode="_(&quot;$&quot;* #,##0.0_);_(&quot;$&quot;* \(#,##0.0\);_(&quot;$&quot;* &quot;-&quot;?_);_(@_)"/>
  </numFmts>
  <fonts count="13" x14ac:knownFonts="1">
    <font>
      <sz val="11"/>
      <color theme="1"/>
      <name val="Arial"/>
      <scheme val="minor"/>
    </font>
    <font>
      <sz val="11"/>
      <color theme="1"/>
      <name val="Garamond"/>
      <family val="1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color rgb="FF548DD4"/>
      <name val="Garamond"/>
      <family val="1"/>
    </font>
    <font>
      <i/>
      <sz val="12"/>
      <color theme="1"/>
      <name val="Garamond"/>
      <family val="1"/>
    </font>
    <font>
      <b/>
      <u/>
      <sz val="12"/>
      <color theme="1"/>
      <name val="Garamond"/>
      <family val="1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sz val="11"/>
      <color theme="0" tint="-0.34998626667073579"/>
      <name val="Garamond"/>
      <family val="1"/>
    </font>
    <font>
      <sz val="11"/>
      <color rgb="FF000000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1"/>
  </cellStyleXfs>
  <cellXfs count="125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1" xfId="0" applyFont="1" applyBorder="1"/>
    <xf numFmtId="164" fontId="1" fillId="0" borderId="0" xfId="0" applyNumberFormat="1" applyFont="1"/>
    <xf numFmtId="168" fontId="1" fillId="0" borderId="1" xfId="0" applyNumberFormat="1" applyFont="1" applyBorder="1"/>
    <xf numFmtId="164" fontId="1" fillId="0" borderId="1" xfId="0" applyNumberFormat="1" applyFont="1" applyBorder="1"/>
    <xf numFmtId="4" fontId="1" fillId="0" borderId="0" xfId="0" applyNumberFormat="1" applyFont="1"/>
    <xf numFmtId="0" fontId="6" fillId="0" borderId="0" xfId="0" applyFont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6" xfId="0" applyFont="1" applyBorder="1"/>
    <xf numFmtId="0" fontId="1" fillId="0" borderId="6" xfId="0" applyFont="1" applyBorder="1"/>
    <xf numFmtId="0" fontId="1" fillId="0" borderId="9" xfId="0" applyFont="1" applyBorder="1"/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9" fillId="0" borderId="1" xfId="0" applyFont="1" applyBorder="1"/>
    <xf numFmtId="0" fontId="9" fillId="0" borderId="6" xfId="0" applyFont="1" applyBorder="1"/>
    <xf numFmtId="0" fontId="10" fillId="4" borderId="5" xfId="0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8" xfId="0" applyFont="1" applyBorder="1"/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4" fontId="10" fillId="0" borderId="1" xfId="2" applyFont="1" applyBorder="1"/>
    <xf numFmtId="44" fontId="10" fillId="4" borderId="5" xfId="2" applyFont="1" applyFill="1" applyBorder="1"/>
    <xf numFmtId="44" fontId="1" fillId="0" borderId="0" xfId="2" applyFont="1"/>
    <xf numFmtId="44" fontId="1" fillId="0" borderId="1" xfId="2" applyFont="1" applyBorder="1"/>
    <xf numFmtId="171" fontId="10" fillId="0" borderId="1" xfId="2" applyNumberFormat="1" applyFont="1" applyBorder="1"/>
    <xf numFmtId="171" fontId="10" fillId="5" borderId="5" xfId="2" applyNumberFormat="1" applyFont="1" applyFill="1" applyBorder="1"/>
    <xf numFmtId="171" fontId="1" fillId="0" borderId="1" xfId="2" applyNumberFormat="1" applyFont="1" applyBorder="1"/>
    <xf numFmtId="0" fontId="1" fillId="0" borderId="5" xfId="0" applyFont="1" applyBorder="1"/>
    <xf numFmtId="0" fontId="1" fillId="0" borderId="7" xfId="0" applyFont="1" applyBorder="1"/>
    <xf numFmtId="44" fontId="10" fillId="2" borderId="5" xfId="2" applyFont="1" applyFill="1" applyBorder="1"/>
    <xf numFmtId="0" fontId="10" fillId="2" borderId="7" xfId="0" applyFont="1" applyFill="1" applyBorder="1" applyAlignment="1">
      <alignment horizontal="right"/>
    </xf>
    <xf numFmtId="0" fontId="5" fillId="0" borderId="5" xfId="0" applyFont="1" applyBorder="1"/>
    <xf numFmtId="0" fontId="1" fillId="0" borderId="5" xfId="0" quotePrefix="1" applyFont="1" applyBorder="1"/>
    <xf numFmtId="0" fontId="1" fillId="0" borderId="5" xfId="0" applyFont="1" applyBorder="1" applyAlignment="1">
      <alignment horizontal="right"/>
    </xf>
    <xf numFmtId="0" fontId="1" fillId="6" borderId="8" xfId="0" applyFont="1" applyFill="1" applyBorder="1"/>
    <xf numFmtId="0" fontId="1" fillId="6" borderId="1" xfId="0" applyFont="1" applyFill="1" applyBorder="1"/>
    <xf numFmtId="0" fontId="11" fillId="6" borderId="8" xfId="0" applyFont="1" applyFill="1" applyBorder="1"/>
    <xf numFmtId="0" fontId="11" fillId="6" borderId="1" xfId="0" applyFont="1" applyFill="1" applyBorder="1"/>
    <xf numFmtId="0" fontId="12" fillId="0" borderId="5" xfId="0" applyFont="1" applyBorder="1"/>
    <xf numFmtId="43" fontId="1" fillId="0" borderId="1" xfId="1" applyFont="1" applyBorder="1"/>
    <xf numFmtId="179" fontId="1" fillId="0" borderId="1" xfId="1" applyNumberFormat="1" applyFont="1" applyBorder="1"/>
    <xf numFmtId="9" fontId="1" fillId="0" borderId="1" xfId="3" applyFont="1" applyBorder="1"/>
    <xf numFmtId="179" fontId="1" fillId="0" borderId="1" xfId="0" applyNumberFormat="1" applyFont="1" applyBorder="1"/>
    <xf numFmtId="0" fontId="1" fillId="0" borderId="5" xfId="0" applyFont="1" applyBorder="1" applyAlignment="1">
      <alignment horizontal="left"/>
    </xf>
    <xf numFmtId="44" fontId="1" fillId="0" borderId="1" xfId="2" applyNumberFormat="1" applyFont="1" applyBorder="1"/>
    <xf numFmtId="179" fontId="1" fillId="6" borderId="1" xfId="0" applyNumberFormat="1" applyFont="1" applyFill="1" applyBorder="1"/>
    <xf numFmtId="44" fontId="1" fillId="0" borderId="1" xfId="2" applyFont="1" applyFill="1" applyBorder="1"/>
    <xf numFmtId="179" fontId="1" fillId="0" borderId="1" xfId="1" quotePrefix="1" applyNumberFormat="1" applyFont="1" applyBorder="1"/>
    <xf numFmtId="179" fontId="11" fillId="6" borderId="1" xfId="1" applyNumberFormat="1" applyFont="1" applyFill="1" applyBorder="1"/>
    <xf numFmtId="9" fontId="1" fillId="0" borderId="1" xfId="3" applyFont="1" applyFill="1" applyBorder="1"/>
    <xf numFmtId="179" fontId="1" fillId="0" borderId="1" xfId="3" applyNumberFormat="1" applyFont="1" applyFill="1" applyBorder="1"/>
    <xf numFmtId="9" fontId="1" fillId="6" borderId="1" xfId="3" applyFont="1" applyFill="1" applyBorder="1"/>
    <xf numFmtId="179" fontId="1" fillId="6" borderId="1" xfId="3" applyNumberFormat="1" applyFont="1" applyFill="1" applyBorder="1"/>
    <xf numFmtId="171" fontId="1" fillId="6" borderId="1" xfId="2" applyNumberFormat="1" applyFont="1" applyFill="1" applyBorder="1"/>
    <xf numFmtId="44" fontId="1" fillId="6" borderId="1" xfId="2" applyNumberFormat="1" applyFont="1" applyFill="1" applyBorder="1"/>
    <xf numFmtId="43" fontId="1" fillId="0" borderId="1" xfId="0" applyNumberFormat="1" applyFont="1" applyBorder="1"/>
    <xf numFmtId="0" fontId="1" fillId="0" borderId="1" xfId="0" applyFont="1" applyFill="1" applyBorder="1"/>
    <xf numFmtId="171" fontId="1" fillId="0" borderId="1" xfId="2" applyNumberFormat="1" applyFont="1" applyFill="1" applyBorder="1"/>
    <xf numFmtId="171" fontId="1" fillId="0" borderId="6" xfId="2" applyNumberFormat="1" applyFont="1" applyFill="1" applyBorder="1"/>
    <xf numFmtId="9" fontId="1" fillId="0" borderId="1" xfId="0" applyNumberFormat="1" applyFont="1" applyBorder="1"/>
    <xf numFmtId="44" fontId="1" fillId="0" borderId="1" xfId="0" applyNumberFormat="1" applyFont="1" applyBorder="1"/>
    <xf numFmtId="9" fontId="1" fillId="0" borderId="6" xfId="3" applyFont="1" applyBorder="1"/>
    <xf numFmtId="43" fontId="1" fillId="0" borderId="6" xfId="0" applyNumberFormat="1" applyFont="1" applyBorder="1"/>
    <xf numFmtId="9" fontId="1" fillId="0" borderId="6" xfId="3" applyFont="1" applyFill="1" applyBorder="1"/>
    <xf numFmtId="44" fontId="1" fillId="0" borderId="6" xfId="0" applyNumberFormat="1" applyFont="1" applyBorder="1"/>
    <xf numFmtId="9" fontId="1" fillId="0" borderId="6" xfId="0" applyNumberFormat="1" applyFont="1" applyBorder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/>
    <xf numFmtId="179" fontId="1" fillId="0" borderId="6" xfId="0" applyNumberFormat="1" applyFont="1" applyBorder="1"/>
    <xf numFmtId="179" fontId="1" fillId="0" borderId="6" xfId="1" applyNumberFormat="1" applyFont="1" applyBorder="1"/>
    <xf numFmtId="0" fontId="11" fillId="6" borderId="6" xfId="0" applyFont="1" applyFill="1" applyBorder="1"/>
    <xf numFmtId="9" fontId="1" fillId="3" borderId="1" xfId="3" applyFont="1" applyFill="1" applyBorder="1"/>
    <xf numFmtId="179" fontId="1" fillId="3" borderId="1" xfId="3" applyNumberFormat="1" applyFont="1" applyFill="1" applyBorder="1"/>
    <xf numFmtId="0" fontId="5" fillId="0" borderId="5" xfId="0" applyFont="1" applyBorder="1" applyAlignment="1">
      <alignment horizontal="left"/>
    </xf>
    <xf numFmtId="171" fontId="5" fillId="0" borderId="10" xfId="2" applyNumberFormat="1" applyFont="1" applyBorder="1"/>
    <xf numFmtId="171" fontId="1" fillId="0" borderId="11" xfId="2" applyNumberFormat="1" applyFont="1" applyBorder="1"/>
    <xf numFmtId="0" fontId="1" fillId="2" borderId="0" xfId="0" applyFont="1" applyFill="1" applyAlignment="1">
      <alignment horizontal="center"/>
    </xf>
    <xf numFmtId="171" fontId="1" fillId="3" borderId="1" xfId="2" applyNumberFormat="1" applyFont="1" applyFill="1" applyBorder="1"/>
    <xf numFmtId="1" fontId="1" fillId="0" borderId="6" xfId="0" applyNumberFormat="1" applyFont="1" applyBorder="1"/>
    <xf numFmtId="179" fontId="1" fillId="0" borderId="6" xfId="3" applyNumberFormat="1" applyFont="1" applyFill="1" applyBorder="1"/>
    <xf numFmtId="171" fontId="1" fillId="0" borderId="6" xfId="2" applyNumberFormat="1" applyFont="1" applyBorder="1"/>
    <xf numFmtId="165" fontId="1" fillId="0" borderId="1" xfId="3" applyNumberFormat="1" applyFont="1" applyBorder="1"/>
    <xf numFmtId="165" fontId="1" fillId="0" borderId="6" xfId="3" applyNumberFormat="1" applyFont="1" applyBorder="1"/>
    <xf numFmtId="165" fontId="1" fillId="0" borderId="1" xfId="0" applyNumberFormat="1" applyFont="1" applyBorder="1" applyAlignment="1">
      <alignment horizontal="left" indent="4"/>
    </xf>
    <xf numFmtId="10" fontId="1" fillId="0" borderId="1" xfId="3" applyNumberFormat="1" applyFont="1" applyBorder="1"/>
    <xf numFmtId="9" fontId="1" fillId="0" borderId="8" xfId="3" applyFont="1" applyBorder="1"/>
    <xf numFmtId="10" fontId="1" fillId="0" borderId="8" xfId="0" applyNumberFormat="1" applyFont="1" applyBorder="1"/>
    <xf numFmtId="165" fontId="1" fillId="0" borderId="6" xfId="0" applyNumberFormat="1" applyFont="1" applyBorder="1" applyAlignment="1">
      <alignment horizontal="left" indent="4"/>
    </xf>
    <xf numFmtId="10" fontId="1" fillId="0" borderId="9" xfId="0" applyNumberFormat="1" applyFont="1" applyBorder="1"/>
    <xf numFmtId="44" fontId="1" fillId="0" borderId="11" xfId="0" applyNumberFormat="1" applyFont="1" applyBorder="1"/>
    <xf numFmtId="44" fontId="1" fillId="0" borderId="12" xfId="0" applyNumberFormat="1" applyFont="1" applyBorder="1"/>
    <xf numFmtId="192" fontId="1" fillId="0" borderId="1" xfId="0" applyNumberFormat="1" applyFont="1" applyBorder="1"/>
    <xf numFmtId="0" fontId="1" fillId="0" borderId="5" xfId="0" quotePrefix="1" applyFont="1" applyBorder="1" applyAlignment="1">
      <alignment horizontal="right"/>
    </xf>
    <xf numFmtId="9" fontId="10" fillId="0" borderId="1" xfId="3" applyFont="1" applyBorder="1"/>
    <xf numFmtId="10" fontId="10" fillId="0" borderId="1" xfId="3" applyNumberFormat="1" applyFont="1" applyBorder="1"/>
    <xf numFmtId="10" fontId="10" fillId="0" borderId="1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6" fontId="1" fillId="0" borderId="6" xfId="0" applyNumberFormat="1" applyFont="1" applyBorder="1"/>
    <xf numFmtId="37" fontId="1" fillId="0" borderId="6" xfId="0" applyNumberFormat="1" applyFont="1" applyBorder="1"/>
    <xf numFmtId="10" fontId="1" fillId="0" borderId="6" xfId="0" applyNumberFormat="1" applyFont="1" applyBorder="1"/>
    <xf numFmtId="2" fontId="1" fillId="0" borderId="6" xfId="0" applyNumberFormat="1" applyFont="1" applyBorder="1"/>
    <xf numFmtId="0" fontId="5" fillId="2" borderId="5" xfId="0" applyFont="1" applyFill="1" applyBorder="1"/>
    <xf numFmtId="10" fontId="5" fillId="0" borderId="6" xfId="0" applyNumberFormat="1" applyFont="1" applyBorder="1"/>
    <xf numFmtId="166" fontId="5" fillId="3" borderId="6" xfId="0" applyNumberFormat="1" applyFont="1" applyFill="1" applyBorder="1"/>
    <xf numFmtId="165" fontId="1" fillId="3" borderId="6" xfId="0" applyNumberFormat="1" applyFont="1" applyFill="1" applyBorder="1"/>
    <xf numFmtId="167" fontId="1" fillId="0" borderId="6" xfId="0" applyNumberFormat="1" applyFont="1" applyBorder="1"/>
    <xf numFmtId="44" fontId="10" fillId="0" borderId="8" xfId="0" applyNumberFormat="1" applyFont="1" applyBorder="1"/>
    <xf numFmtId="9" fontId="10" fillId="2" borderId="1" xfId="3" applyFont="1" applyFill="1" applyBorder="1"/>
    <xf numFmtId="44" fontId="1" fillId="6" borderId="1" xfId="0" applyNumberFormat="1" applyFont="1" applyFill="1" applyBorder="1"/>
    <xf numFmtId="171" fontId="1" fillId="0" borderId="8" xfId="2" applyNumberFormat="1" applyFont="1" applyBorder="1"/>
    <xf numFmtId="0" fontId="5" fillId="0" borderId="1" xfId="0" applyFont="1" applyFill="1" applyBorder="1" applyAlignment="1">
      <alignment horizontal="center"/>
    </xf>
    <xf numFmtId="167" fontId="1" fillId="0" borderId="1" xfId="0" applyNumberFormat="1" applyFont="1" applyFill="1" applyBorder="1"/>
    <xf numFmtId="37" fontId="1" fillId="0" borderId="1" xfId="0" applyNumberFormat="1" applyFont="1" applyFill="1" applyBorder="1"/>
    <xf numFmtId="0" fontId="5" fillId="0" borderId="1" xfId="0" applyFont="1" applyFill="1" applyBorder="1"/>
    <xf numFmtId="166" fontId="5" fillId="0" borderId="1" xfId="0" applyNumberFormat="1" applyFont="1" applyFill="1" applyBorder="1"/>
    <xf numFmtId="165" fontId="1" fillId="0" borderId="1" xfId="0" applyNumberFormat="1" applyFont="1" applyFill="1" applyBorder="1"/>
  </cellXfs>
  <cellStyles count="5">
    <cellStyle name="Comma" xfId="1" builtinId="3"/>
    <cellStyle name="Currency" xfId="2" builtinId="4"/>
    <cellStyle name="Normal" xfId="0" builtinId="0"/>
    <cellStyle name="Normal 2" xfId="4" xr:uid="{8B1E49DB-AB1C-CE4E-A285-6F2C6E117132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AB6F-58E6-DC4E-A5DE-9A8E552B035F}">
  <sheetPr>
    <tabColor rgb="FF0070C0"/>
  </sheetPr>
  <dimension ref="B1:T56"/>
  <sheetViews>
    <sheetView tabSelected="1" zoomScale="91" workbookViewId="0">
      <pane xSplit="7" topLeftCell="H1" activePane="topRight" state="frozen"/>
      <selection pane="topRight" activeCell="H46" sqref="H46"/>
    </sheetView>
  </sheetViews>
  <sheetFormatPr baseColWidth="10" defaultRowHeight="15" x14ac:dyDescent="0.2"/>
  <cols>
    <col min="1" max="1" width="10.83203125" style="1"/>
    <col min="2" max="2" width="48.33203125" style="1" customWidth="1"/>
    <col min="3" max="3" width="13.83203125" style="1" customWidth="1"/>
    <col min="4" max="4" width="12.83203125" style="1" customWidth="1"/>
    <col min="5" max="7" width="12.1640625" style="1" bestFit="1" customWidth="1"/>
    <col min="8" max="12" width="11" style="1" bestFit="1" customWidth="1"/>
    <col min="13" max="13" width="11.5" style="1" bestFit="1" customWidth="1"/>
    <col min="14" max="16384" width="10.83203125" style="1"/>
  </cols>
  <sheetData>
    <row r="1" spans="2:20" ht="16" thickBot="1" x14ac:dyDescent="0.25"/>
    <row r="2" spans="2:20" ht="15" customHeight="1" x14ac:dyDescent="0.2">
      <c r="B2" s="26" t="s">
        <v>29</v>
      </c>
      <c r="C2" s="16" t="s">
        <v>0</v>
      </c>
      <c r="D2" s="16"/>
      <c r="E2" s="16"/>
      <c r="F2" s="16"/>
      <c r="G2" s="16"/>
      <c r="H2" s="17" t="s">
        <v>1</v>
      </c>
      <c r="I2" s="17"/>
      <c r="J2" s="17"/>
      <c r="K2" s="17"/>
      <c r="L2" s="17"/>
      <c r="M2" s="18"/>
      <c r="N2" s="9"/>
      <c r="O2" s="9"/>
      <c r="P2" s="9"/>
      <c r="Q2" s="9"/>
      <c r="R2" s="9"/>
      <c r="S2" s="9"/>
      <c r="T2" s="9"/>
    </row>
    <row r="3" spans="2:20" ht="16" customHeight="1" x14ac:dyDescent="0.2">
      <c r="B3" s="27"/>
      <c r="C3" s="14"/>
      <c r="D3" s="14"/>
      <c r="E3" s="14"/>
      <c r="F3" s="14"/>
      <c r="G3" s="14"/>
      <c r="H3" s="15"/>
      <c r="I3" s="15"/>
      <c r="J3" s="15"/>
      <c r="K3" s="15"/>
      <c r="L3" s="15"/>
      <c r="M3" s="19"/>
      <c r="N3" s="9"/>
      <c r="O3" s="9"/>
      <c r="P3" s="9"/>
      <c r="Q3" s="9"/>
      <c r="R3" s="9"/>
      <c r="S3" s="9"/>
      <c r="T3" s="9"/>
    </row>
    <row r="4" spans="2:20" ht="16" customHeight="1" x14ac:dyDescent="0.2">
      <c r="B4" s="27"/>
      <c r="C4" s="14"/>
      <c r="D4" s="14"/>
      <c r="E4" s="14"/>
      <c r="F4" s="14"/>
      <c r="G4" s="14"/>
      <c r="H4" s="15"/>
      <c r="I4" s="15"/>
      <c r="J4" s="15"/>
      <c r="K4" s="15"/>
      <c r="L4" s="15"/>
      <c r="M4" s="19"/>
      <c r="N4" s="9"/>
      <c r="O4" s="9"/>
      <c r="P4" s="9"/>
      <c r="Q4" s="9"/>
      <c r="R4" s="9"/>
      <c r="S4" s="9"/>
      <c r="T4" s="9"/>
    </row>
    <row r="5" spans="2:20" ht="16" x14ac:dyDescent="0.2">
      <c r="B5" s="20" t="s">
        <v>72</v>
      </c>
      <c r="C5" s="21">
        <v>2019</v>
      </c>
      <c r="D5" s="21">
        <v>2020</v>
      </c>
      <c r="E5" s="21">
        <v>2021</v>
      </c>
      <c r="F5" s="21">
        <f t="shared" ref="F5:M5" si="0">E5+1</f>
        <v>2022</v>
      </c>
      <c r="G5" s="21">
        <f t="shared" si="0"/>
        <v>2023</v>
      </c>
      <c r="H5" s="21">
        <f>G5+1</f>
        <v>2024</v>
      </c>
      <c r="I5" s="21">
        <f t="shared" si="0"/>
        <v>2025</v>
      </c>
      <c r="J5" s="21">
        <f t="shared" si="0"/>
        <v>2026</v>
      </c>
      <c r="K5" s="21">
        <f t="shared" si="0"/>
        <v>2027</v>
      </c>
      <c r="L5" s="21">
        <f t="shared" si="0"/>
        <v>2028</v>
      </c>
      <c r="M5" s="22">
        <f t="shared" si="0"/>
        <v>2029</v>
      </c>
      <c r="N5" s="2"/>
      <c r="O5" s="2"/>
      <c r="P5" s="2"/>
      <c r="Q5" s="2"/>
      <c r="R5" s="2"/>
      <c r="S5" s="2"/>
      <c r="T5" s="2"/>
    </row>
    <row r="6" spans="2:20" x14ac:dyDescent="0.2">
      <c r="B6" s="35" t="s">
        <v>47</v>
      </c>
      <c r="C6" s="3">
        <v>69</v>
      </c>
      <c r="D6" s="3">
        <v>130</v>
      </c>
      <c r="E6" s="3">
        <v>765</v>
      </c>
      <c r="F6" s="48">
        <v>697</v>
      </c>
      <c r="G6" s="3">
        <v>987</v>
      </c>
      <c r="H6" s="48">
        <v>1500</v>
      </c>
      <c r="I6" s="48">
        <v>2100</v>
      </c>
      <c r="J6" s="48">
        <f>I6*I7+I6</f>
        <v>2940</v>
      </c>
      <c r="K6" s="48">
        <f t="shared" ref="K6" si="1">J6*J7+J6</f>
        <v>4116</v>
      </c>
      <c r="L6" s="48">
        <f>K6*0.2+K6</f>
        <v>4939.2</v>
      </c>
      <c r="M6" s="77">
        <f>L6*L7+L6</f>
        <v>5927.0399999999991</v>
      </c>
      <c r="N6" s="4"/>
      <c r="O6" s="4"/>
      <c r="P6" s="5"/>
      <c r="Q6" s="5"/>
      <c r="R6" s="5"/>
      <c r="S6" s="5"/>
      <c r="T6" s="5"/>
    </row>
    <row r="7" spans="2:20" x14ac:dyDescent="0.2">
      <c r="B7" s="41" t="s">
        <v>76</v>
      </c>
      <c r="C7" s="3"/>
      <c r="D7" s="49">
        <f>(D6-C6)/C6</f>
        <v>0.88405797101449279</v>
      </c>
      <c r="E7" s="49">
        <f t="shared" ref="E7:M7" si="2">(E6-D6)/D6</f>
        <v>4.884615384615385</v>
      </c>
      <c r="F7" s="49">
        <f t="shared" si="2"/>
        <v>-8.8888888888888892E-2</v>
      </c>
      <c r="G7" s="49">
        <f t="shared" si="2"/>
        <v>0.41606886657101866</v>
      </c>
      <c r="H7" s="49">
        <f t="shared" si="2"/>
        <v>0.51975683890577506</v>
      </c>
      <c r="I7" s="49">
        <f t="shared" si="2"/>
        <v>0.4</v>
      </c>
      <c r="J7" s="49">
        <f t="shared" si="2"/>
        <v>0.4</v>
      </c>
      <c r="K7" s="49">
        <f t="shared" si="2"/>
        <v>0.4</v>
      </c>
      <c r="L7" s="49">
        <f t="shared" si="2"/>
        <v>0.19999999999999996</v>
      </c>
      <c r="M7" s="69">
        <f t="shared" si="2"/>
        <v>0.19999999999999984</v>
      </c>
      <c r="N7" s="4"/>
      <c r="O7" s="4"/>
      <c r="P7" s="5"/>
      <c r="Q7" s="5"/>
      <c r="R7" s="5"/>
      <c r="S7" s="5"/>
      <c r="T7" s="5"/>
    </row>
    <row r="8" spans="2:20" s="30" customFormat="1" x14ac:dyDescent="0.2">
      <c r="B8" s="35" t="s">
        <v>48</v>
      </c>
      <c r="C8" s="47">
        <v>0</v>
      </c>
      <c r="D8" s="3">
        <v>1</v>
      </c>
      <c r="E8" s="3">
        <v>5</v>
      </c>
      <c r="F8" s="48">
        <v>0</v>
      </c>
      <c r="G8" s="47">
        <v>0</v>
      </c>
      <c r="H8" s="74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12" t="s">
        <v>28</v>
      </c>
    </row>
    <row r="9" spans="2:20" x14ac:dyDescent="0.2">
      <c r="B9" s="46" t="s">
        <v>50</v>
      </c>
      <c r="C9" s="3">
        <v>26</v>
      </c>
      <c r="D9" s="3">
        <v>11</v>
      </c>
      <c r="E9" s="3">
        <v>65</v>
      </c>
      <c r="F9" s="48">
        <v>31</v>
      </c>
      <c r="G9" s="3">
        <v>30</v>
      </c>
      <c r="H9" s="75">
        <f>AVERAGE(C9:G9)</f>
        <v>32.6</v>
      </c>
      <c r="I9" s="3">
        <v>43</v>
      </c>
      <c r="J9" s="3">
        <v>54</v>
      </c>
      <c r="K9" s="3">
        <v>65</v>
      </c>
      <c r="L9" s="75">
        <f>K9*L10+K9</f>
        <v>74.75</v>
      </c>
      <c r="M9" s="86">
        <f>L9*M10+L9</f>
        <v>85.962500000000006</v>
      </c>
      <c r="N9" s="4"/>
      <c r="O9" s="4"/>
      <c r="P9" s="4"/>
      <c r="Q9" s="4"/>
      <c r="R9" s="4"/>
      <c r="S9" s="4"/>
      <c r="T9" s="4"/>
    </row>
    <row r="10" spans="2:20" x14ac:dyDescent="0.2">
      <c r="B10" s="41" t="s">
        <v>76</v>
      </c>
      <c r="C10" s="3"/>
      <c r="D10" s="49">
        <f>(D9-C9)/C9</f>
        <v>-0.57692307692307687</v>
      </c>
      <c r="E10" s="49">
        <f t="shared" ref="E10:K10" si="3">(E9-D9)/D9</f>
        <v>4.9090909090909092</v>
      </c>
      <c r="F10" s="49">
        <f t="shared" si="3"/>
        <v>-0.52307692307692311</v>
      </c>
      <c r="G10" s="49">
        <f t="shared" si="3"/>
        <v>-3.2258064516129031E-2</v>
      </c>
      <c r="H10" s="49">
        <f t="shared" si="3"/>
        <v>8.6666666666666711E-2</v>
      </c>
      <c r="I10" s="49">
        <f t="shared" si="3"/>
        <v>0.31901840490797539</v>
      </c>
      <c r="J10" s="49">
        <f t="shared" si="3"/>
        <v>0.2558139534883721</v>
      </c>
      <c r="K10" s="49">
        <f t="shared" si="3"/>
        <v>0.20370370370370369</v>
      </c>
      <c r="L10" s="49">
        <v>0.15</v>
      </c>
      <c r="M10" s="69">
        <v>0.15</v>
      </c>
      <c r="N10" s="4"/>
      <c r="O10" s="4"/>
      <c r="P10" s="4"/>
      <c r="Q10" s="4"/>
      <c r="R10" s="4"/>
      <c r="S10" s="4"/>
      <c r="T10" s="4"/>
    </row>
    <row r="11" spans="2:20" s="30" customFormat="1" x14ac:dyDescent="0.2">
      <c r="B11" s="35" t="s">
        <v>51</v>
      </c>
      <c r="C11" s="3">
        <v>38</v>
      </c>
      <c r="D11" s="3">
        <v>13</v>
      </c>
      <c r="E11" s="3">
        <v>53</v>
      </c>
      <c r="F11" s="48">
        <v>68</v>
      </c>
      <c r="G11" s="3">
        <v>126</v>
      </c>
      <c r="H11" s="75">
        <f>AVERAGE(C11:G11)</f>
        <v>59.6</v>
      </c>
      <c r="I11" s="3">
        <v>72</v>
      </c>
      <c r="J11" s="3">
        <v>84</v>
      </c>
      <c r="K11" s="75">
        <f>H11*G16 +H11</f>
        <v>92.921793323923907</v>
      </c>
      <c r="L11" s="75">
        <f>K11*L12+K11</f>
        <v>100.35553678983781</v>
      </c>
      <c r="M11" s="86">
        <f>L11*M12+L11</f>
        <v>108.38397973302484</v>
      </c>
      <c r="P11" s="31"/>
      <c r="Q11" s="31"/>
      <c r="R11" s="31"/>
      <c r="S11" s="31"/>
      <c r="T11" s="31"/>
    </row>
    <row r="12" spans="2:20" s="30" customFormat="1" x14ac:dyDescent="0.2">
      <c r="B12" s="41" t="s">
        <v>76</v>
      </c>
      <c r="C12" s="49"/>
      <c r="D12" s="49">
        <f>(D11-C11)/C11</f>
        <v>-0.65789473684210531</v>
      </c>
      <c r="E12" s="49">
        <f t="shared" ref="E12:K12" si="4">(E11-D11)/D11</f>
        <v>3.0769230769230771</v>
      </c>
      <c r="F12" s="49">
        <f t="shared" si="4"/>
        <v>0.28301886792452829</v>
      </c>
      <c r="G12" s="49">
        <f t="shared" si="4"/>
        <v>0.8529411764705882</v>
      </c>
      <c r="H12" s="49">
        <f t="shared" si="4"/>
        <v>-0.526984126984127</v>
      </c>
      <c r="I12" s="49">
        <f t="shared" si="4"/>
        <v>0.20805369127516776</v>
      </c>
      <c r="J12" s="49">
        <f t="shared" si="4"/>
        <v>0.16666666666666666</v>
      </c>
      <c r="K12" s="49">
        <f t="shared" si="4"/>
        <v>0.10621182528480842</v>
      </c>
      <c r="L12" s="49">
        <v>0.08</v>
      </c>
      <c r="M12" s="69">
        <v>0.08</v>
      </c>
      <c r="P12" s="31"/>
      <c r="Q12" s="31"/>
      <c r="R12" s="31"/>
      <c r="S12" s="31"/>
      <c r="T12" s="31"/>
    </row>
    <row r="13" spans="2:20" s="30" customFormat="1" x14ac:dyDescent="0.2">
      <c r="B13" s="35" t="s">
        <v>52</v>
      </c>
      <c r="C13" s="3">
        <v>113</v>
      </c>
      <c r="D13" s="3">
        <v>29</v>
      </c>
      <c r="E13" s="3">
        <v>21</v>
      </c>
      <c r="F13" s="48">
        <v>139</v>
      </c>
      <c r="G13" s="3">
        <v>313</v>
      </c>
      <c r="H13" s="3">
        <v>360</v>
      </c>
      <c r="I13" s="3">
        <v>410</v>
      </c>
      <c r="J13" s="3">
        <v>460</v>
      </c>
      <c r="K13" s="75">
        <f>G16*313+G13</f>
        <v>487.99532399980177</v>
      </c>
      <c r="L13" s="75">
        <f>K13*L14+K13</f>
        <v>517.2750434397899</v>
      </c>
      <c r="M13" s="86">
        <f>L13*M14+L13</f>
        <v>548.31154604617734</v>
      </c>
      <c r="P13" s="31"/>
      <c r="Q13" s="31"/>
      <c r="R13" s="31"/>
      <c r="S13" s="31"/>
      <c r="T13" s="31"/>
    </row>
    <row r="14" spans="2:20" s="30" customFormat="1" x14ac:dyDescent="0.2">
      <c r="B14" s="41" t="s">
        <v>76</v>
      </c>
      <c r="C14" s="3"/>
      <c r="D14" s="49">
        <f>(D13-C13)/C13</f>
        <v>-0.74336283185840712</v>
      </c>
      <c r="E14" s="49">
        <f t="shared" ref="E14:K14" si="5">(E13-D13)/D13</f>
        <v>-0.27586206896551724</v>
      </c>
      <c r="F14" s="49">
        <f t="shared" si="5"/>
        <v>5.6190476190476186</v>
      </c>
      <c r="G14" s="49">
        <f t="shared" si="5"/>
        <v>1.2517985611510791</v>
      </c>
      <c r="H14" s="49">
        <f t="shared" si="5"/>
        <v>0.15015974440894569</v>
      </c>
      <c r="I14" s="49">
        <f t="shared" si="5"/>
        <v>0.1388888888888889</v>
      </c>
      <c r="J14" s="49">
        <f t="shared" si="5"/>
        <v>0.12195121951219512</v>
      </c>
      <c r="K14" s="49">
        <f t="shared" si="5"/>
        <v>6.0859399999569061E-2</v>
      </c>
      <c r="L14" s="49">
        <v>0.06</v>
      </c>
      <c r="M14" s="69">
        <v>0.06</v>
      </c>
      <c r="P14" s="31"/>
      <c r="Q14" s="31"/>
      <c r="R14" s="31"/>
      <c r="S14" s="31"/>
      <c r="T14" s="31"/>
    </row>
    <row r="15" spans="2:20" s="30" customFormat="1" x14ac:dyDescent="0.2">
      <c r="B15" s="35" t="s">
        <v>62</v>
      </c>
      <c r="C15" s="48">
        <f>SUM(C6:C13)</f>
        <v>246</v>
      </c>
      <c r="D15" s="48">
        <f>SUM(D6:D13)</f>
        <v>183.64924015724932</v>
      </c>
      <c r="E15" s="48">
        <f>SUM(E6:E13)</f>
        <v>921.87062937062933</v>
      </c>
      <c r="F15" s="48">
        <f>SUM(F6:F13)</f>
        <v>934.67105305595874</v>
      </c>
      <c r="G15" s="48">
        <f>SUM(G6:G13)</f>
        <v>1457.2367519785255</v>
      </c>
      <c r="H15" s="48">
        <f t="shared" ref="H15:M15" si="6">SUM(H6:H13)</f>
        <v>1952.279439378588</v>
      </c>
      <c r="I15" s="48">
        <f t="shared" si="6"/>
        <v>2625.9270720961836</v>
      </c>
      <c r="J15" s="48">
        <f>SUM(J6:J13)</f>
        <v>3538.8224806201551</v>
      </c>
      <c r="K15" s="48">
        <f t="shared" si="6"/>
        <v>4762.6270328527144</v>
      </c>
      <c r="L15" s="48">
        <f t="shared" si="6"/>
        <v>5632.0105802296275</v>
      </c>
      <c r="M15" s="77">
        <f t="shared" si="6"/>
        <v>6670.1280257792005</v>
      </c>
      <c r="P15" s="31"/>
      <c r="Q15" s="31"/>
      <c r="R15" s="31"/>
      <c r="S15" s="31"/>
      <c r="T15" s="31"/>
    </row>
    <row r="16" spans="2:20" s="30" customFormat="1" x14ac:dyDescent="0.2">
      <c r="B16" s="41" t="s">
        <v>49</v>
      </c>
      <c r="C16" s="47">
        <v>0</v>
      </c>
      <c r="D16" s="49">
        <f>(D15-C15)/C15</f>
        <v>-0.25345837334451493</v>
      </c>
      <c r="E16" s="49">
        <f>(E15-D15)/D15</f>
        <v>4.0197356034867298</v>
      </c>
      <c r="F16" s="49">
        <f t="shared" ref="F16:G16" si="7">(F15-E15)/E15</f>
        <v>1.3885271183949518E-2</v>
      </c>
      <c r="G16" s="49">
        <f t="shared" si="7"/>
        <v>0.55909049201214622</v>
      </c>
      <c r="H16" s="67">
        <f>AVERAGE(D16:G16)</f>
        <v>1.0848132483345776</v>
      </c>
      <c r="I16" s="67">
        <f t="shared" ref="I16:M16" si="8">AVERAGE(E16:H16)</f>
        <v>1.4193811537543506</v>
      </c>
      <c r="J16" s="67">
        <f t="shared" si="8"/>
        <v>0.76929254132125602</v>
      </c>
      <c r="K16" s="67">
        <f t="shared" si="8"/>
        <v>0.95814435885558258</v>
      </c>
      <c r="L16" s="67">
        <f t="shared" si="8"/>
        <v>1.0579078255664418</v>
      </c>
      <c r="M16" s="73">
        <f t="shared" si="8"/>
        <v>1.0511814698744077</v>
      </c>
      <c r="P16" s="31"/>
      <c r="Q16" s="31"/>
      <c r="R16" s="31"/>
      <c r="S16" s="31"/>
      <c r="T16" s="31"/>
    </row>
    <row r="17" spans="2:20" x14ac:dyDescent="0.2">
      <c r="B17" s="35" t="s">
        <v>53</v>
      </c>
      <c r="C17" s="48">
        <v>4591</v>
      </c>
      <c r="D17" s="48">
        <v>4395</v>
      </c>
      <c r="E17" s="48">
        <v>3365</v>
      </c>
      <c r="F17" s="48">
        <v>3585</v>
      </c>
      <c r="G17" s="48">
        <v>4357</v>
      </c>
      <c r="H17" s="45"/>
      <c r="I17" s="45"/>
      <c r="J17" s="45"/>
      <c r="K17" s="45"/>
      <c r="L17" s="45"/>
      <c r="M17" s="78"/>
      <c r="N17" s="4"/>
      <c r="O17" s="4"/>
      <c r="P17" s="6"/>
      <c r="Q17" s="6"/>
      <c r="R17" s="6"/>
      <c r="S17" s="6"/>
      <c r="T17" s="6"/>
    </row>
    <row r="18" spans="2:20" s="30" customFormat="1" x14ac:dyDescent="0.2">
      <c r="B18" s="35" t="s">
        <v>54</v>
      </c>
      <c r="C18" s="48">
        <v>17</v>
      </c>
      <c r="D18" s="48">
        <v>17</v>
      </c>
      <c r="E18" s="48">
        <v>5</v>
      </c>
      <c r="F18" s="48">
        <v>0</v>
      </c>
      <c r="G18" s="48">
        <v>0</v>
      </c>
      <c r="H18" s="45"/>
      <c r="I18" s="45"/>
      <c r="J18" s="45"/>
      <c r="K18" s="45"/>
      <c r="L18" s="45"/>
      <c r="M18" s="78"/>
      <c r="P18" s="31"/>
      <c r="Q18" s="31"/>
      <c r="R18" s="31"/>
      <c r="S18" s="31"/>
      <c r="T18" s="31"/>
    </row>
    <row r="19" spans="2:20" x14ac:dyDescent="0.2">
      <c r="B19" s="46" t="s">
        <v>55</v>
      </c>
      <c r="C19" s="48">
        <v>97</v>
      </c>
      <c r="D19" s="48">
        <v>92</v>
      </c>
      <c r="E19" s="48">
        <v>103</v>
      </c>
      <c r="F19" s="48">
        <v>120</v>
      </c>
      <c r="G19" s="48">
        <v>101</v>
      </c>
      <c r="H19" s="45"/>
      <c r="I19" s="45"/>
      <c r="J19" s="45"/>
      <c r="K19" s="45"/>
      <c r="L19" s="45"/>
      <c r="M19" s="78"/>
      <c r="N19" s="4"/>
      <c r="O19" s="4"/>
      <c r="P19" s="6"/>
      <c r="Q19" s="6"/>
      <c r="R19" s="6"/>
      <c r="S19" s="6"/>
      <c r="T19" s="6"/>
    </row>
    <row r="20" spans="2:20" s="30" customFormat="1" x14ac:dyDescent="0.2">
      <c r="B20" s="35" t="s">
        <v>56</v>
      </c>
      <c r="C20" s="48">
        <v>388</v>
      </c>
      <c r="D20" s="48">
        <v>381</v>
      </c>
      <c r="E20" s="48">
        <v>298</v>
      </c>
      <c r="F20" s="48">
        <v>328</v>
      </c>
      <c r="G20" s="48">
        <v>491</v>
      </c>
      <c r="H20" s="45"/>
      <c r="I20" s="45"/>
      <c r="J20" s="45"/>
      <c r="K20" s="45"/>
      <c r="L20" s="45"/>
      <c r="M20" s="78"/>
      <c r="P20" s="31"/>
      <c r="Q20" s="31"/>
      <c r="R20" s="31"/>
      <c r="S20" s="31"/>
      <c r="T20" s="31"/>
    </row>
    <row r="21" spans="2:20" x14ac:dyDescent="0.2">
      <c r="B21" s="35" t="s">
        <v>57</v>
      </c>
      <c r="C21" s="48">
        <v>569</v>
      </c>
      <c r="D21" s="48">
        <v>540</v>
      </c>
      <c r="E21" s="48">
        <v>405</v>
      </c>
      <c r="F21" s="48">
        <v>522</v>
      </c>
      <c r="G21" s="48">
        <v>719</v>
      </c>
      <c r="H21" s="45"/>
      <c r="I21" s="45"/>
      <c r="J21" s="45"/>
      <c r="K21" s="45"/>
      <c r="L21" s="45"/>
      <c r="M21" s="78"/>
      <c r="N21" s="4"/>
      <c r="O21" s="4"/>
      <c r="P21" s="6"/>
      <c r="Q21" s="6"/>
      <c r="R21" s="6"/>
      <c r="S21" s="6"/>
      <c r="T21" s="6"/>
    </row>
    <row r="22" spans="2:20" s="30" customFormat="1" x14ac:dyDescent="0.2">
      <c r="B22" s="35" t="s">
        <v>58</v>
      </c>
      <c r="C22" s="48">
        <f>SUM(C16:C21) - 218</f>
        <v>5444</v>
      </c>
      <c r="D22" s="48">
        <f>SUM(D16:D21) - 218</f>
        <v>5206.7465416266559</v>
      </c>
      <c r="E22" s="48">
        <f t="shared" ref="E22:G22" si="9">SUM(E17:E21)</f>
        <v>4176</v>
      </c>
      <c r="F22" s="48">
        <f t="shared" si="9"/>
        <v>4555</v>
      </c>
      <c r="G22" s="48">
        <f t="shared" si="9"/>
        <v>5668</v>
      </c>
      <c r="H22" s="50">
        <f>G22*H24+G22</f>
        <v>7368.4</v>
      </c>
      <c r="I22" s="50">
        <f t="shared" ref="I22:M22" si="10">H22*I24+H22</f>
        <v>9947.34</v>
      </c>
      <c r="J22" s="50">
        <f>I22*J24+I22</f>
        <v>12931.541999999999</v>
      </c>
      <c r="K22" s="50">
        <f t="shared" si="10"/>
        <v>16164.4275</v>
      </c>
      <c r="L22" s="50">
        <f t="shared" si="10"/>
        <v>20205.534374999999</v>
      </c>
      <c r="M22" s="76">
        <f t="shared" si="10"/>
        <v>24246.641250000001</v>
      </c>
    </row>
    <row r="23" spans="2:20" s="30" customFormat="1" x14ac:dyDescent="0.2">
      <c r="B23" s="35" t="s">
        <v>64</v>
      </c>
      <c r="C23" s="56"/>
      <c r="D23" s="55">
        <f>(C22-D22)</f>
        <v>237.25345837334407</v>
      </c>
      <c r="E23" s="55">
        <f t="shared" ref="E23" si="11">(D22-E22)</f>
        <v>1030.7465416266559</v>
      </c>
      <c r="F23" s="55">
        <f>(E22-F22)</f>
        <v>-379</v>
      </c>
      <c r="G23" s="55">
        <f>(F22-G22)</f>
        <v>-1113</v>
      </c>
      <c r="H23" s="50">
        <f>G22-H22</f>
        <v>-1700.3999999999996</v>
      </c>
      <c r="I23" s="50">
        <f>H22-I22</f>
        <v>-2578.9400000000005</v>
      </c>
      <c r="J23" s="50">
        <f t="shared" ref="I23:M23" si="12">I22-J22</f>
        <v>-2984.2019999999993</v>
      </c>
      <c r="K23" s="50">
        <f>J22-K22</f>
        <v>-3232.8855000000003</v>
      </c>
      <c r="L23" s="50">
        <f t="shared" si="12"/>
        <v>-4041.1068749999995</v>
      </c>
      <c r="M23" s="76">
        <f t="shared" si="12"/>
        <v>-4041.1068750000013</v>
      </c>
    </row>
    <row r="24" spans="2:20" s="30" customFormat="1" x14ac:dyDescent="0.2">
      <c r="B24" s="41" t="s">
        <v>61</v>
      </c>
      <c r="C24" s="53"/>
      <c r="D24" s="49">
        <f>(D22-C22)/D22</f>
        <v>-4.5566546494353266E-2</v>
      </c>
      <c r="E24" s="49">
        <f t="shared" ref="E24:F24" si="13">(E22-D22)/E22</f>
        <v>-0.24682627912515706</v>
      </c>
      <c r="F24" s="49">
        <f t="shared" si="13"/>
        <v>8.3205268935235999E-2</v>
      </c>
      <c r="G24" s="49">
        <f>(G22-F22)/G22</f>
        <v>0.19636556104446012</v>
      </c>
      <c r="H24" s="79">
        <v>0.3</v>
      </c>
      <c r="I24" s="49">
        <v>0.35</v>
      </c>
      <c r="J24" s="49">
        <v>0.3</v>
      </c>
      <c r="K24" s="49">
        <v>0.25</v>
      </c>
      <c r="L24" s="49">
        <v>0.25</v>
      </c>
      <c r="M24" s="69">
        <v>0.2</v>
      </c>
    </row>
    <row r="25" spans="2:20" s="30" customFormat="1" x14ac:dyDescent="0.2">
      <c r="B25" s="51" t="s">
        <v>65</v>
      </c>
      <c r="C25" s="59"/>
      <c r="D25" s="57">
        <f>-D23/D15</f>
        <v>-1.2918836918148762</v>
      </c>
      <c r="E25" s="57">
        <f>-E23/E15</f>
        <v>-1.1181032444111569</v>
      </c>
      <c r="F25" s="57">
        <f>(-F23)/F15</f>
        <v>0.40549025110046849</v>
      </c>
      <c r="G25" s="57">
        <f>(-G23)/G15</f>
        <v>0.76377431360336823</v>
      </c>
      <c r="H25" s="57">
        <f t="shared" ref="H25:M25" si="14">(-H23)/H15</f>
        <v>0.87098187160196605</v>
      </c>
      <c r="I25" s="57">
        <v>0.8</v>
      </c>
      <c r="J25" s="57">
        <v>0.75</v>
      </c>
      <c r="K25" s="57">
        <v>0.7</v>
      </c>
      <c r="L25" s="57">
        <v>0.6</v>
      </c>
      <c r="M25" s="71">
        <v>0.5</v>
      </c>
    </row>
    <row r="26" spans="2:20" s="30" customFormat="1" x14ac:dyDescent="0.2">
      <c r="B26" s="51" t="s">
        <v>67</v>
      </c>
      <c r="C26" s="53"/>
      <c r="D26" s="58">
        <f>D23+D15</f>
        <v>420.9026985305934</v>
      </c>
      <c r="E26" s="58">
        <f>E15+E23</f>
        <v>1952.6171709972853</v>
      </c>
      <c r="F26" s="58">
        <f>F15+F23</f>
        <v>555.67105305595874</v>
      </c>
      <c r="G26" s="58">
        <f>G15+G23</f>
        <v>344.23675197852549</v>
      </c>
      <c r="H26" s="80">
        <f>H15+H23</f>
        <v>251.87943937858836</v>
      </c>
      <c r="I26" s="58">
        <f>I15+I23</f>
        <v>46.987072096183056</v>
      </c>
      <c r="J26" s="58">
        <f>J15+J23</f>
        <v>554.62048062015583</v>
      </c>
      <c r="K26" s="58">
        <f>K15+K23</f>
        <v>1529.741532852714</v>
      </c>
      <c r="L26" s="58">
        <f t="shared" ref="I26:M26" si="15">L15+L23</f>
        <v>1590.903705229628</v>
      </c>
      <c r="M26" s="87">
        <f t="shared" si="15"/>
        <v>2629.0211507791992</v>
      </c>
    </row>
    <row r="27" spans="2:20" s="30" customFormat="1" x14ac:dyDescent="0.2">
      <c r="B27" s="41" t="s">
        <v>68</v>
      </c>
      <c r="C27" s="53"/>
      <c r="D27" s="60"/>
      <c r="E27" s="57">
        <f>(E26-D26)/D26</f>
        <v>3.6391177291427104</v>
      </c>
      <c r="F27" s="57">
        <f t="shared" ref="F27:M27" si="16">(F26-E26)/E26</f>
        <v>-0.71542242826219038</v>
      </c>
      <c r="G27" s="57">
        <f t="shared" si="16"/>
        <v>-0.38050263715310145</v>
      </c>
      <c r="H27" s="57">
        <f t="shared" si="16"/>
        <v>-0.26829590991986424</v>
      </c>
      <c r="I27" s="57">
        <f t="shared" si="16"/>
        <v>-0.81345411831904646</v>
      </c>
      <c r="J27" s="57">
        <f t="shared" si="16"/>
        <v>10.80368249983403</v>
      </c>
      <c r="K27" s="57">
        <f t="shared" si="16"/>
        <v>1.7581771433002518</v>
      </c>
      <c r="L27" s="57">
        <f t="shared" si="16"/>
        <v>3.9982030338717868E-2</v>
      </c>
      <c r="M27" s="71">
        <f t="shared" si="16"/>
        <v>0.65253317478428474</v>
      </c>
    </row>
    <row r="28" spans="2:20" s="30" customFormat="1" x14ac:dyDescent="0.2">
      <c r="B28" s="81" t="s">
        <v>63</v>
      </c>
      <c r="C28" s="34">
        <v>32255</v>
      </c>
      <c r="D28" s="34">
        <v>16162</v>
      </c>
      <c r="E28" s="34">
        <v>19714</v>
      </c>
      <c r="F28" s="34">
        <v>26026</v>
      </c>
      <c r="G28" s="34">
        <v>33901</v>
      </c>
      <c r="H28" s="65">
        <f>((G29+G32)/2)*H26</f>
        <v>23961.185691213221</v>
      </c>
      <c r="I28" s="65">
        <f>((I33+H32)/2)*I26</f>
        <v>2227.4986967336349</v>
      </c>
      <c r="J28" s="65">
        <f>((I29+I32)/2)*J26</f>
        <v>57854.335794582119</v>
      </c>
      <c r="K28" s="65">
        <f t="shared" ref="K28:M28" si="17">((J29+J32)/2)*K26</f>
        <v>164872.14524182267</v>
      </c>
      <c r="L28" s="65">
        <f t="shared" si="17"/>
        <v>177041.06972404855</v>
      </c>
      <c r="M28" s="66">
        <f>((L29+L32)/2)*M26</f>
        <v>304464.31448544579</v>
      </c>
      <c r="P28" s="31"/>
      <c r="Q28" s="31"/>
      <c r="R28" s="31"/>
      <c r="S28" s="31"/>
      <c r="T28" s="31"/>
    </row>
    <row r="29" spans="2:20" s="30" customFormat="1" x14ac:dyDescent="0.2">
      <c r="B29" s="51" t="s">
        <v>66</v>
      </c>
      <c r="C29" s="61"/>
      <c r="D29" s="52">
        <f>D28/D26</f>
        <v>38.398423332572818</v>
      </c>
      <c r="E29" s="52">
        <f>E28/E26</f>
        <v>10.096193095511506</v>
      </c>
      <c r="F29" s="52">
        <f t="shared" ref="F29:G29" si="18">F28/F26</f>
        <v>46.837062785379715</v>
      </c>
      <c r="G29" s="52">
        <f t="shared" si="18"/>
        <v>98.481640339538316</v>
      </c>
      <c r="H29" s="68">
        <v>107</v>
      </c>
      <c r="I29" s="68">
        <v>111</v>
      </c>
      <c r="J29" s="68">
        <v>115</v>
      </c>
      <c r="K29" s="68">
        <v>120</v>
      </c>
      <c r="L29" s="68">
        <v>127</v>
      </c>
      <c r="M29" s="72">
        <v>135</v>
      </c>
      <c r="P29" s="31"/>
      <c r="Q29" s="31"/>
      <c r="R29" s="31"/>
      <c r="S29" s="31"/>
      <c r="T29" s="31"/>
    </row>
    <row r="30" spans="2:20" s="30" customFormat="1" x14ac:dyDescent="0.2">
      <c r="B30" s="41" t="s">
        <v>70</v>
      </c>
      <c r="C30" s="61"/>
      <c r="D30" s="62"/>
      <c r="E30" s="49">
        <f>(E29-D29)/D29</f>
        <v>-0.7370675090467308</v>
      </c>
      <c r="F30" s="49">
        <f t="shared" ref="F30:G30" si="19">(F29-E29)/E29</f>
        <v>3.6390815173891831</v>
      </c>
      <c r="G30" s="49">
        <f t="shared" si="19"/>
        <v>1.102643387157052</v>
      </c>
      <c r="H30" s="49">
        <f>(H29-G29)/G29</f>
        <v>8.6496931114192058E-2</v>
      </c>
      <c r="I30" s="49">
        <f t="shared" ref="I30:M30" si="20">(I29-H29)/H29</f>
        <v>3.7383177570093455E-2</v>
      </c>
      <c r="J30" s="49">
        <f t="shared" si="20"/>
        <v>3.6036036036036036E-2</v>
      </c>
      <c r="K30" s="49">
        <f t="shared" si="20"/>
        <v>4.3478260869565216E-2</v>
      </c>
      <c r="L30" s="49">
        <f t="shared" si="20"/>
        <v>5.8333333333333334E-2</v>
      </c>
      <c r="M30" s="49">
        <f t="shared" si="20"/>
        <v>6.2992125984251968E-2</v>
      </c>
      <c r="P30" s="31"/>
      <c r="Q30" s="31"/>
      <c r="R30" s="31"/>
      <c r="S30" s="31"/>
      <c r="T30" s="31"/>
    </row>
    <row r="31" spans="2:20" s="30" customFormat="1" x14ac:dyDescent="0.2">
      <c r="B31" s="35" t="s">
        <v>59</v>
      </c>
      <c r="C31" s="34">
        <v>463403</v>
      </c>
      <c r="D31" s="34">
        <v>363404</v>
      </c>
      <c r="E31" s="34">
        <v>377499</v>
      </c>
      <c r="F31" s="34">
        <v>404381</v>
      </c>
      <c r="G31" s="34">
        <v>520195</v>
      </c>
      <c r="H31" s="34">
        <v>520195</v>
      </c>
      <c r="I31" s="34">
        <v>520195</v>
      </c>
      <c r="J31" s="34">
        <v>520195</v>
      </c>
      <c r="K31" s="34">
        <v>520195</v>
      </c>
      <c r="L31" s="34">
        <v>520195</v>
      </c>
      <c r="M31" s="88">
        <v>520195</v>
      </c>
    </row>
    <row r="32" spans="2:20" s="30" customFormat="1" x14ac:dyDescent="0.2">
      <c r="B32" s="35" t="s">
        <v>60</v>
      </c>
      <c r="C32" s="31">
        <f>C31/C22</f>
        <v>85.12178545187362</v>
      </c>
      <c r="D32" s="31">
        <f t="shared" ref="D32:G32" si="21">D31/D22</f>
        <v>69.794831973224461</v>
      </c>
      <c r="E32" s="31">
        <f t="shared" si="21"/>
        <v>90.397270114942529</v>
      </c>
      <c r="F32" s="31">
        <f t="shared" si="21"/>
        <v>88.777387486278812</v>
      </c>
      <c r="G32" s="31">
        <f t="shared" si="21"/>
        <v>91.777522935779814</v>
      </c>
      <c r="H32" s="68">
        <f>G32*H33+G32</f>
        <v>94.783258088263949</v>
      </c>
      <c r="I32" s="68">
        <f t="shared" ref="I32:M32" si="22">H32*I33+H32</f>
        <v>97.626755830911861</v>
      </c>
      <c r="J32" s="68">
        <f t="shared" si="22"/>
        <v>100.55555850583922</v>
      </c>
      <c r="K32" s="68">
        <f t="shared" si="22"/>
        <v>102.56666967595601</v>
      </c>
      <c r="L32" s="68">
        <f t="shared" si="22"/>
        <v>104.61800306947512</v>
      </c>
      <c r="M32" s="72">
        <f t="shared" si="22"/>
        <v>107.233453146212</v>
      </c>
    </row>
    <row r="33" spans="2:20" s="30" customFormat="1" x14ac:dyDescent="0.2">
      <c r="B33" s="41" t="s">
        <v>69</v>
      </c>
      <c r="C33" s="54"/>
      <c r="D33" s="49">
        <f>(D32-C32)/C32</f>
        <v>-0.18005911644457637</v>
      </c>
      <c r="E33" s="49">
        <f t="shared" ref="E33:G33" si="23">(E32-D32)/D32</f>
        <v>0.29518572592340109</v>
      </c>
      <c r="F33" s="49">
        <f t="shared" si="23"/>
        <v>-1.7919596759990577E-2</v>
      </c>
      <c r="G33" s="49">
        <f t="shared" si="23"/>
        <v>3.3793914581736195E-2</v>
      </c>
      <c r="H33" s="67">
        <f>(D33+E33+F33+G33)/4</f>
        <v>3.2750231825142584E-2</v>
      </c>
      <c r="I33" s="67">
        <v>0.03</v>
      </c>
      <c r="J33" s="67">
        <v>0.03</v>
      </c>
      <c r="K33" s="67">
        <v>0.02</v>
      </c>
      <c r="L33" s="67">
        <v>0.02</v>
      </c>
      <c r="M33" s="73">
        <f t="shared" ref="M33" si="24">(I33+J33+K33+L33)/4</f>
        <v>2.5000000000000001E-2</v>
      </c>
    </row>
    <row r="34" spans="2:20" s="31" customFormat="1" x14ac:dyDescent="0.2">
      <c r="B34" s="39" t="s">
        <v>71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12"/>
    </row>
    <row r="35" spans="2:20" s="31" customFormat="1" x14ac:dyDescent="0.2">
      <c r="B35" s="35" t="s">
        <v>78</v>
      </c>
      <c r="C35" s="48">
        <v>800000</v>
      </c>
      <c r="D35" s="48">
        <f>C35*0.075+C35</f>
        <v>860000</v>
      </c>
      <c r="E35" s="48">
        <f t="shared" ref="E35:M35" si="25">D35*0.075+D35</f>
        <v>924500</v>
      </c>
      <c r="F35" s="48">
        <f t="shared" si="25"/>
        <v>993837.5</v>
      </c>
      <c r="G35" s="48">
        <f t="shared" si="25"/>
        <v>1068375.3125</v>
      </c>
      <c r="H35" s="48">
        <f t="shared" si="25"/>
        <v>1148503.4609375</v>
      </c>
      <c r="I35" s="48">
        <f t="shared" si="25"/>
        <v>1234641.2205078125</v>
      </c>
      <c r="J35" s="48">
        <f t="shared" si="25"/>
        <v>1327239.3120458983</v>
      </c>
      <c r="K35" s="48">
        <f t="shared" si="25"/>
        <v>1426782.2604493406</v>
      </c>
      <c r="L35" s="48">
        <f t="shared" si="25"/>
        <v>1533790.929983041</v>
      </c>
      <c r="M35" s="77">
        <f t="shared" si="25"/>
        <v>1648825.2497317691</v>
      </c>
    </row>
    <row r="36" spans="2:20" s="30" customFormat="1" x14ac:dyDescent="0.2">
      <c r="B36" s="35" t="s">
        <v>74</v>
      </c>
      <c r="C36" s="49">
        <f>C38/C35</f>
        <v>3.2618750000000002E-2</v>
      </c>
      <c r="D36" s="49">
        <f t="shared" ref="D36:F36" si="26">D38/D35</f>
        <v>3.0531395348837208E-2</v>
      </c>
      <c r="E36" s="49">
        <f t="shared" si="26"/>
        <v>2.8707409410492157E-2</v>
      </c>
      <c r="F36" s="49">
        <f t="shared" si="26"/>
        <v>2.3306627089438665E-2</v>
      </c>
      <c r="G36" s="92">
        <f>G38/G35</f>
        <v>3.1731358449936103E-2</v>
      </c>
      <c r="H36" s="89">
        <v>0.03</v>
      </c>
      <c r="I36" s="89">
        <v>0.03</v>
      </c>
      <c r="J36" s="89">
        <v>0.03</v>
      </c>
      <c r="K36" s="89">
        <v>0.03</v>
      </c>
      <c r="L36" s="89">
        <v>0.03</v>
      </c>
      <c r="M36" s="90">
        <v>0.03</v>
      </c>
      <c r="P36" s="31"/>
      <c r="Q36" s="31"/>
      <c r="R36" s="31"/>
      <c r="S36" s="31"/>
      <c r="T36" s="31"/>
    </row>
    <row r="37" spans="2:20" s="30" customFormat="1" x14ac:dyDescent="0.2">
      <c r="B37" s="41" t="s">
        <v>75</v>
      </c>
      <c r="C37" s="3"/>
      <c r="D37" s="67">
        <f>(D36-C36)</f>
        <v>-2.0873546511627934E-3</v>
      </c>
      <c r="E37" s="67">
        <f t="shared" ref="E37:F37" si="27">(E36-D36)</f>
        <v>-1.8239859383450512E-3</v>
      </c>
      <c r="F37" s="67">
        <f t="shared" si="27"/>
        <v>-5.4007823210534926E-3</v>
      </c>
      <c r="G37" s="67">
        <f>(G36-F36)</f>
        <v>8.4247313604974387E-3</v>
      </c>
      <c r="H37" s="91">
        <f>(H36-G36)</f>
        <v>-1.7313584499361045E-3</v>
      </c>
      <c r="I37" s="91">
        <f t="shared" ref="I37:M37" si="28">(I36-H36)</f>
        <v>0</v>
      </c>
      <c r="J37" s="91">
        <f t="shared" si="28"/>
        <v>0</v>
      </c>
      <c r="K37" s="91">
        <f t="shared" si="28"/>
        <v>0</v>
      </c>
      <c r="L37" s="91">
        <f t="shared" si="28"/>
        <v>0</v>
      </c>
      <c r="M37" s="95">
        <f t="shared" si="28"/>
        <v>0</v>
      </c>
      <c r="P37" s="31"/>
      <c r="Q37" s="31"/>
      <c r="R37" s="31"/>
      <c r="S37" s="31"/>
      <c r="T37" s="31"/>
    </row>
    <row r="38" spans="2:20" s="30" customFormat="1" x14ac:dyDescent="0.2">
      <c r="B38" s="35" t="s">
        <v>39</v>
      </c>
      <c r="C38" s="34">
        <v>26095</v>
      </c>
      <c r="D38" s="34">
        <v>26257</v>
      </c>
      <c r="E38" s="34">
        <v>26540</v>
      </c>
      <c r="F38" s="85">
        <v>23163</v>
      </c>
      <c r="G38" s="85">
        <v>33901</v>
      </c>
      <c r="H38" s="63">
        <f>H36*H35</f>
        <v>34455.103828125</v>
      </c>
      <c r="I38" s="63">
        <f t="shared" ref="I38:M38" si="29">I36*I35</f>
        <v>37039.236615234375</v>
      </c>
      <c r="J38" s="63">
        <f t="shared" si="29"/>
        <v>39817.179361376948</v>
      </c>
      <c r="K38" s="63">
        <f t="shared" si="29"/>
        <v>42803.467813480216</v>
      </c>
      <c r="L38" s="63">
        <f t="shared" si="29"/>
        <v>46013.727899491227</v>
      </c>
      <c r="M38" s="70">
        <f t="shared" si="29"/>
        <v>49464.757491953074</v>
      </c>
      <c r="P38" s="31"/>
      <c r="Q38" s="31"/>
      <c r="R38" s="31"/>
      <c r="S38" s="31"/>
      <c r="T38" s="31"/>
    </row>
    <row r="39" spans="2:20" s="30" customFormat="1" x14ac:dyDescent="0.2">
      <c r="B39" s="41" t="s">
        <v>76</v>
      </c>
      <c r="C39" s="43"/>
      <c r="D39" s="49">
        <f>(D38-C38)/C38</f>
        <v>6.2080858401992716E-3</v>
      </c>
      <c r="E39" s="49">
        <f t="shared" ref="E39:M39" si="30">(E38-D38)/D38</f>
        <v>1.0778078226758579E-2</v>
      </c>
      <c r="F39" s="49">
        <f t="shared" si="30"/>
        <v>-0.12724189902034666</v>
      </c>
      <c r="G39" s="79">
        <f t="shared" si="30"/>
        <v>0.4635841644001209</v>
      </c>
      <c r="H39" s="57">
        <f t="shared" si="30"/>
        <v>1.6344763520987592E-2</v>
      </c>
      <c r="I39" s="57">
        <f t="shared" si="30"/>
        <v>7.4999999999999983E-2</v>
      </c>
      <c r="J39" s="57">
        <f t="shared" si="30"/>
        <v>7.4999999999999858E-2</v>
      </c>
      <c r="K39" s="57">
        <f t="shared" si="30"/>
        <v>7.4999999999999928E-2</v>
      </c>
      <c r="L39" s="57">
        <f t="shared" si="30"/>
        <v>7.4999999999999872E-2</v>
      </c>
      <c r="M39" s="71">
        <f t="shared" si="30"/>
        <v>7.5000000000000122E-2</v>
      </c>
      <c r="P39" s="31"/>
      <c r="Q39" s="31"/>
      <c r="R39" s="31"/>
      <c r="S39" s="31"/>
      <c r="T39" s="31"/>
    </row>
    <row r="40" spans="2:20" x14ac:dyDescent="0.2">
      <c r="B40" s="39" t="s">
        <v>73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12"/>
      <c r="N40" s="7"/>
      <c r="O40" s="7"/>
      <c r="P40" s="7"/>
      <c r="Q40" s="8"/>
      <c r="R40" s="7"/>
      <c r="S40" s="7"/>
      <c r="T40" s="7"/>
    </row>
    <row r="41" spans="2:20" s="30" customFormat="1" x14ac:dyDescent="0.2">
      <c r="B41" s="35" t="s">
        <v>39</v>
      </c>
      <c r="C41" s="34">
        <v>18468</v>
      </c>
      <c r="D41" s="34">
        <v>15543</v>
      </c>
      <c r="E41" s="34">
        <v>16328</v>
      </c>
      <c r="F41" s="34">
        <v>17611</v>
      </c>
      <c r="G41" s="34">
        <v>19127</v>
      </c>
      <c r="H41" s="34">
        <f>G41*H42+G41</f>
        <v>20498.815795684772</v>
      </c>
      <c r="I41" s="34">
        <f t="shared" ref="I41:L41" si="31">H41*I42+H41</f>
        <v>21933.732901382707</v>
      </c>
      <c r="J41" s="34">
        <f t="shared" si="31"/>
        <v>23249.756875465671</v>
      </c>
      <c r="K41" s="34">
        <f t="shared" si="31"/>
        <v>24481.993989865354</v>
      </c>
      <c r="L41" s="34">
        <f t="shared" si="31"/>
        <v>25706.093689358622</v>
      </c>
      <c r="M41" s="88">
        <f>L41*M42+L41</f>
        <v>26862.86790537976</v>
      </c>
    </row>
    <row r="42" spans="2:20" s="30" customFormat="1" ht="16" thickBot="1" x14ac:dyDescent="0.25">
      <c r="B42" s="36" t="s">
        <v>76</v>
      </c>
      <c r="C42" s="42"/>
      <c r="D42" s="93">
        <f>(D41-C41)/C41</f>
        <v>-0.15838206627680312</v>
      </c>
      <c r="E42" s="93">
        <f t="shared" ref="E42:G42" si="32">(E41-D41)/D41</f>
        <v>5.0505050505050504E-2</v>
      </c>
      <c r="F42" s="93">
        <f t="shared" si="32"/>
        <v>7.8576678098971092E-2</v>
      </c>
      <c r="G42" s="93">
        <f t="shared" si="32"/>
        <v>8.6082562035091709E-2</v>
      </c>
      <c r="H42" s="94">
        <f>AVERAGE(E42:G42)</f>
        <v>7.1721430213037771E-2</v>
      </c>
      <c r="I42" s="94">
        <v>7.0000000000000007E-2</v>
      </c>
      <c r="J42" s="94">
        <v>0.06</v>
      </c>
      <c r="K42" s="94">
        <v>5.2999999999999999E-2</v>
      </c>
      <c r="L42" s="94">
        <v>0.05</v>
      </c>
      <c r="M42" s="96">
        <v>4.4999999999999998E-2</v>
      </c>
    </row>
    <row r="43" spans="2:20" ht="16" thickBot="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20" ht="16" thickBot="1" x14ac:dyDescent="0.25">
      <c r="B44" s="82" t="s">
        <v>34</v>
      </c>
      <c r="C44" s="83">
        <v>76559</v>
      </c>
      <c r="D44" s="83">
        <v>58158</v>
      </c>
      <c r="E44" s="83">
        <v>62286</v>
      </c>
      <c r="F44" s="83">
        <v>66608</v>
      </c>
      <c r="G44" s="83">
        <v>77794</v>
      </c>
      <c r="H44" s="97">
        <f>SUM(H41+H38+H28)</f>
        <v>78915.105315022985</v>
      </c>
      <c r="I44" s="97">
        <f t="shared" ref="I44:M44" si="33">SUM(I41+I38+I28)</f>
        <v>61200.468213350723</v>
      </c>
      <c r="J44" s="97">
        <f>SUM(J41+J38+J28)</f>
        <v>120921.27203142474</v>
      </c>
      <c r="K44" s="97">
        <f t="shared" si="33"/>
        <v>232157.60704516823</v>
      </c>
      <c r="L44" s="97">
        <f t="shared" si="33"/>
        <v>248760.8913128984</v>
      </c>
      <c r="M44" s="98">
        <f t="shared" si="33"/>
        <v>380791.93988277862</v>
      </c>
      <c r="N44" s="3"/>
    </row>
    <row r="45" spans="2:20" x14ac:dyDescent="0.2">
      <c r="H45" s="3"/>
      <c r="I45" s="3"/>
      <c r="J45" s="3"/>
      <c r="K45" s="3"/>
      <c r="L45" s="3"/>
      <c r="M45" s="3"/>
      <c r="N45" s="3"/>
    </row>
    <row r="46" spans="2:20" x14ac:dyDescent="0.2">
      <c r="H46" s="3"/>
      <c r="I46" s="3"/>
      <c r="J46" s="3"/>
      <c r="K46" s="3"/>
      <c r="L46" s="3"/>
      <c r="M46" s="3"/>
      <c r="N46" s="3"/>
    </row>
    <row r="47" spans="2:20" x14ac:dyDescent="0.2">
      <c r="B47" s="84" t="s">
        <v>77</v>
      </c>
      <c r="N47" s="3"/>
    </row>
    <row r="48" spans="2:20" x14ac:dyDescent="0.2">
      <c r="N48" s="3"/>
    </row>
    <row r="49" spans="14:14" x14ac:dyDescent="0.2">
      <c r="N49" s="3"/>
    </row>
    <row r="50" spans="14:14" x14ac:dyDescent="0.2">
      <c r="N50" s="3"/>
    </row>
    <row r="51" spans="14:14" x14ac:dyDescent="0.2">
      <c r="N51" s="3"/>
    </row>
    <row r="52" spans="14:14" x14ac:dyDescent="0.2">
      <c r="N52" s="3"/>
    </row>
    <row r="53" spans="14:14" x14ac:dyDescent="0.2">
      <c r="N53" s="3"/>
    </row>
    <row r="54" spans="14:14" x14ac:dyDescent="0.2">
      <c r="N54" s="3"/>
    </row>
    <row r="55" spans="14:14" x14ac:dyDescent="0.2">
      <c r="N55" s="3"/>
    </row>
    <row r="56" spans="14:14" x14ac:dyDescent="0.2">
      <c r="N56" s="3"/>
    </row>
  </sheetData>
  <mergeCells count="3">
    <mergeCell ref="B2:B4"/>
    <mergeCell ref="C2:G4"/>
    <mergeCell ref="H2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FA1C-B586-B548-9401-C8AB7404D68F}">
  <sheetPr>
    <tabColor rgb="FF0070C0"/>
  </sheetPr>
  <dimension ref="B1:P88"/>
  <sheetViews>
    <sheetView topLeftCell="A50" zoomScale="134" zoomScaleNormal="138" workbookViewId="0">
      <selection activeCell="E82" sqref="E82"/>
    </sheetView>
  </sheetViews>
  <sheetFormatPr baseColWidth="10" defaultRowHeight="15" x14ac:dyDescent="0.2"/>
  <cols>
    <col min="1" max="1" width="10.83203125" style="1"/>
    <col min="2" max="2" width="38.6640625" style="1" customWidth="1"/>
    <col min="3" max="3" width="13.5" style="1" customWidth="1"/>
    <col min="4" max="4" width="10.83203125" style="1"/>
    <col min="5" max="5" width="10.83203125" style="1" customWidth="1"/>
    <col min="6" max="7" width="10.83203125" style="1"/>
    <col min="8" max="8" width="12" style="1" customWidth="1"/>
    <col min="9" max="9" width="12.33203125" style="1" customWidth="1"/>
    <col min="10" max="10" width="12.1640625" style="1" customWidth="1"/>
    <col min="11" max="11" width="11.83203125" style="1" customWidth="1"/>
    <col min="12" max="12" width="12.83203125" style="1" customWidth="1"/>
    <col min="13" max="13" width="14" style="1" customWidth="1"/>
    <col min="14" max="14" width="12.5" style="1" bestFit="1" customWidth="1"/>
    <col min="15" max="15" width="12.33203125" style="1" customWidth="1"/>
    <col min="16" max="16" width="12.6640625" style="1" customWidth="1"/>
    <col min="17" max="16384" width="10.83203125" style="1"/>
  </cols>
  <sheetData>
    <row r="1" spans="2:16" ht="16" thickBot="1" x14ac:dyDescent="0.25"/>
    <row r="2" spans="2:16" ht="14" customHeight="1" x14ac:dyDescent="0.2">
      <c r="B2" s="26" t="s">
        <v>29</v>
      </c>
      <c r="C2" s="16" t="s">
        <v>0</v>
      </c>
      <c r="D2" s="16"/>
      <c r="E2" s="16"/>
      <c r="F2" s="16"/>
      <c r="G2" s="16"/>
      <c r="H2" s="17" t="s">
        <v>1</v>
      </c>
      <c r="I2" s="17"/>
      <c r="J2" s="17"/>
      <c r="K2" s="17"/>
      <c r="L2" s="17"/>
      <c r="M2" s="17"/>
      <c r="N2" s="17"/>
      <c r="O2" s="17"/>
      <c r="P2" s="18"/>
    </row>
    <row r="3" spans="2:16" ht="14" customHeight="1" x14ac:dyDescent="0.2">
      <c r="B3" s="27"/>
      <c r="C3" s="14"/>
      <c r="D3" s="14"/>
      <c r="E3" s="14"/>
      <c r="F3" s="14"/>
      <c r="G3" s="14"/>
      <c r="H3" s="15"/>
      <c r="I3" s="15"/>
      <c r="J3" s="15"/>
      <c r="K3" s="15"/>
      <c r="L3" s="15"/>
      <c r="M3" s="15"/>
      <c r="N3" s="15"/>
      <c r="O3" s="15"/>
      <c r="P3" s="19"/>
    </row>
    <row r="4" spans="2:16" ht="14" customHeight="1" x14ac:dyDescent="0.2">
      <c r="B4" s="27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5"/>
      <c r="P4" s="19"/>
    </row>
    <row r="5" spans="2:16" ht="16" x14ac:dyDescent="0.2">
      <c r="B5" s="20"/>
      <c r="C5" s="21">
        <v>2019</v>
      </c>
      <c r="D5" s="21">
        <v>2020</v>
      </c>
      <c r="E5" s="21">
        <v>2021</v>
      </c>
      <c r="F5" s="21">
        <f t="shared" ref="F5:M5" si="0">E5+1</f>
        <v>2022</v>
      </c>
      <c r="G5" s="21">
        <f t="shared" si="0"/>
        <v>2023</v>
      </c>
      <c r="H5" s="21">
        <f>G5+1</f>
        <v>2024</v>
      </c>
      <c r="I5" s="21">
        <f t="shared" si="0"/>
        <v>2025</v>
      </c>
      <c r="J5" s="21">
        <f t="shared" si="0"/>
        <v>2026</v>
      </c>
      <c r="K5" s="21">
        <f t="shared" si="0"/>
        <v>2027</v>
      </c>
      <c r="L5" s="21">
        <f t="shared" si="0"/>
        <v>2028</v>
      </c>
      <c r="M5" s="21">
        <f t="shared" si="0"/>
        <v>2029</v>
      </c>
      <c r="N5" s="10">
        <v>2030</v>
      </c>
      <c r="O5" s="10">
        <v>2031</v>
      </c>
      <c r="P5" s="11">
        <v>2032</v>
      </c>
    </row>
    <row r="6" spans="2:16" x14ac:dyDescent="0.2">
      <c r="B6" s="35" t="s">
        <v>39</v>
      </c>
      <c r="C6" s="34">
        <v>76559</v>
      </c>
      <c r="D6" s="34">
        <v>58158</v>
      </c>
      <c r="E6" s="34">
        <v>62286</v>
      </c>
      <c r="F6" s="34">
        <v>66608</v>
      </c>
      <c r="G6" s="34">
        <v>77794</v>
      </c>
      <c r="H6" s="34">
        <v>78915.105315022985</v>
      </c>
      <c r="I6" s="34">
        <v>61200.468213350723</v>
      </c>
      <c r="J6" s="34">
        <v>120921.27203142474</v>
      </c>
      <c r="K6" s="34">
        <v>232157.60704516823</v>
      </c>
      <c r="L6" s="34">
        <v>248760.8913128984</v>
      </c>
      <c r="M6" s="34">
        <v>380791.93988277862</v>
      </c>
      <c r="N6" s="68">
        <f>M6*N7+M6</f>
        <v>426486.97266871203</v>
      </c>
      <c r="O6" s="68">
        <f t="shared" ref="O6:P6" si="1">N6*O7+N6</f>
        <v>447811.32130214764</v>
      </c>
      <c r="P6" s="68">
        <f t="shared" si="1"/>
        <v>470201.88736725505</v>
      </c>
    </row>
    <row r="7" spans="2:16" x14ac:dyDescent="0.2">
      <c r="B7" s="35" t="s">
        <v>40</v>
      </c>
      <c r="C7" s="3"/>
      <c r="D7" s="49">
        <f>(D6-C6)/C6</f>
        <v>-0.24035057929178802</v>
      </c>
      <c r="E7" s="49">
        <f t="shared" ref="E7:M7" si="2">(E6-D6)/D6</f>
        <v>7.0979057051480443E-2</v>
      </c>
      <c r="F7" s="49">
        <f t="shared" si="2"/>
        <v>6.938958995600937E-2</v>
      </c>
      <c r="G7" s="49">
        <f t="shared" si="2"/>
        <v>0.1679377852510209</v>
      </c>
      <c r="H7" s="49">
        <f t="shared" si="2"/>
        <v>1.441120542744923E-2</v>
      </c>
      <c r="I7" s="49">
        <f t="shared" si="2"/>
        <v>-0.22447713946470454</v>
      </c>
      <c r="J7" s="49">
        <f t="shared" si="2"/>
        <v>0.97582266217117075</v>
      </c>
      <c r="K7" s="49">
        <f t="shared" si="2"/>
        <v>0.91990708619766792</v>
      </c>
      <c r="L7" s="49">
        <f t="shared" si="2"/>
        <v>7.1517295853673474E-2</v>
      </c>
      <c r="M7" s="49">
        <f t="shared" si="2"/>
        <v>0.53075484604132517</v>
      </c>
      <c r="N7" s="49">
        <v>0.12</v>
      </c>
      <c r="O7" s="49">
        <v>0.05</v>
      </c>
      <c r="P7" s="69">
        <v>0.05</v>
      </c>
    </row>
    <row r="8" spans="2:16" x14ac:dyDescent="0.2">
      <c r="B8" s="35" t="s">
        <v>80</v>
      </c>
      <c r="C8" s="34">
        <v>-1975</v>
      </c>
      <c r="D8" s="34">
        <v>-12767</v>
      </c>
      <c r="E8" s="34">
        <v>-2870</v>
      </c>
      <c r="F8" s="34">
        <v>-3519</v>
      </c>
      <c r="G8" s="34">
        <v>-773</v>
      </c>
      <c r="H8" s="34">
        <f>H9*H6</f>
        <v>-2656.3388419820758</v>
      </c>
      <c r="I8" s="34">
        <f>I9*I6</f>
        <v>-1466.4069556154516</v>
      </c>
      <c r="J8" s="34">
        <f>J9*J6</f>
        <v>-1724.4237561656237</v>
      </c>
      <c r="K8" s="34">
        <f t="shared" ref="K8:P8" si="3">K9*K6</f>
        <v>-1058.8046007318483</v>
      </c>
      <c r="L8" s="34">
        <f t="shared" si="3"/>
        <v>1278.453203121496</v>
      </c>
      <c r="M8" s="34">
        <f t="shared" si="3"/>
        <v>5650.6802529782371</v>
      </c>
      <c r="N8" s="34">
        <f t="shared" si="3"/>
        <v>10465.685518222132</v>
      </c>
      <c r="O8" s="34">
        <f t="shared" si="3"/>
        <v>15332.739610764072</v>
      </c>
      <c r="P8" s="34">
        <f t="shared" si="3"/>
        <v>20660.33489876465</v>
      </c>
    </row>
    <row r="9" spans="2:16" x14ac:dyDescent="0.2">
      <c r="B9" s="41" t="s">
        <v>79</v>
      </c>
      <c r="C9" s="49">
        <f>C8/C6</f>
        <v>-2.5797097663240117E-2</v>
      </c>
      <c r="D9" s="49">
        <f t="shared" ref="D9:G9" si="4">D8/D6</f>
        <v>-0.21952267959696001</v>
      </c>
      <c r="E9" s="49">
        <f t="shared" si="4"/>
        <v>-4.6077770285457405E-2</v>
      </c>
      <c r="F9" s="49">
        <f t="shared" si="4"/>
        <v>-5.2831491712707179E-2</v>
      </c>
      <c r="G9" s="49">
        <f t="shared" si="4"/>
        <v>-9.9364989587885956E-3</v>
      </c>
      <c r="H9" s="92">
        <f>AVERAGE(C9,E9,F9,G9)</f>
        <v>-3.3660714655048322E-2</v>
      </c>
      <c r="I9" s="92">
        <f>H9+0.97%</f>
        <v>-2.3960714655048322E-2</v>
      </c>
      <c r="J9" s="92">
        <f t="shared" ref="J9:P9" si="5">I9+0.97%</f>
        <v>-1.4260714655048322E-2</v>
      </c>
      <c r="K9" s="92">
        <f t="shared" si="5"/>
        <v>-4.5607146550483216E-3</v>
      </c>
      <c r="L9" s="92">
        <f t="shared" si="5"/>
        <v>5.1392853449516787E-3</v>
      </c>
      <c r="M9" s="92">
        <f t="shared" si="5"/>
        <v>1.4839285344951679E-2</v>
      </c>
      <c r="N9" s="92">
        <f t="shared" si="5"/>
        <v>2.4539285344951679E-2</v>
      </c>
      <c r="O9" s="92">
        <f t="shared" si="5"/>
        <v>3.423928534495168E-2</v>
      </c>
      <c r="P9" s="92">
        <f t="shared" si="5"/>
        <v>4.393928534495168E-2</v>
      </c>
    </row>
    <row r="10" spans="2:16" x14ac:dyDescent="0.2">
      <c r="B10" s="35" t="s">
        <v>46</v>
      </c>
      <c r="C10" s="99">
        <f>C8*(1-0.2)</f>
        <v>-1580</v>
      </c>
      <c r="D10" s="99">
        <f t="shared" ref="D10:P10" si="6">D8*(1-0.2)</f>
        <v>-10213.6</v>
      </c>
      <c r="E10" s="99">
        <f t="shared" si="6"/>
        <v>-2296</v>
      </c>
      <c r="F10" s="99">
        <f t="shared" si="6"/>
        <v>-2815.2000000000003</v>
      </c>
      <c r="G10" s="99">
        <f t="shared" si="6"/>
        <v>-618.40000000000009</v>
      </c>
      <c r="H10" s="99">
        <f t="shared" si="6"/>
        <v>-2125.0710735856605</v>
      </c>
      <c r="I10" s="99">
        <f t="shared" si="6"/>
        <v>-1173.1255644923613</v>
      </c>
      <c r="J10" s="99">
        <f t="shared" si="6"/>
        <v>-1379.539004932499</v>
      </c>
      <c r="K10" s="99">
        <f t="shared" si="6"/>
        <v>-847.04368058547868</v>
      </c>
      <c r="L10" s="99">
        <f t="shared" si="6"/>
        <v>1022.7625624971969</v>
      </c>
      <c r="M10" s="99">
        <f t="shared" si="6"/>
        <v>4520.5442023825899</v>
      </c>
      <c r="N10" s="99">
        <f t="shared" si="6"/>
        <v>8372.5484145777064</v>
      </c>
      <c r="O10" s="99">
        <f t="shared" si="6"/>
        <v>12266.191688611259</v>
      </c>
      <c r="P10" s="99">
        <f t="shared" si="6"/>
        <v>16528.26791901172</v>
      </c>
    </row>
    <row r="11" spans="2:16" x14ac:dyDescent="0.2">
      <c r="B11" s="40" t="s">
        <v>42</v>
      </c>
      <c r="C11" s="34">
        <v>2271</v>
      </c>
      <c r="D11" s="34">
        <v>2246</v>
      </c>
      <c r="E11" s="34">
        <v>2144</v>
      </c>
      <c r="F11" s="34">
        <v>1979</v>
      </c>
      <c r="G11" s="34">
        <v>1861</v>
      </c>
      <c r="H11" s="68">
        <f>H12*H6</f>
        <v>1578.3021063004599</v>
      </c>
      <c r="I11" s="68">
        <f t="shared" ref="I11:P11" si="7">I12*I6</f>
        <v>918.00702320026085</v>
      </c>
      <c r="J11" s="68">
        <f t="shared" si="7"/>
        <v>1813.8190804713711</v>
      </c>
      <c r="K11" s="68">
        <f t="shared" si="7"/>
        <v>2901.9700880646033</v>
      </c>
      <c r="L11" s="68">
        <f t="shared" si="7"/>
        <v>3109.5111414112303</v>
      </c>
      <c r="M11" s="68">
        <f t="shared" si="7"/>
        <v>4188.7113387105646</v>
      </c>
      <c r="N11" s="68">
        <f t="shared" si="7"/>
        <v>4691.3566993558325</v>
      </c>
      <c r="O11" s="68">
        <f t="shared" si="7"/>
        <v>4702.0188736725504</v>
      </c>
      <c r="P11" s="68">
        <f t="shared" si="7"/>
        <v>4702.0188736725504</v>
      </c>
    </row>
    <row r="12" spans="2:16" x14ac:dyDescent="0.2">
      <c r="B12" s="100" t="s">
        <v>41</v>
      </c>
      <c r="C12" s="49">
        <f>C11/C6</f>
        <v>2.9663396857325722E-2</v>
      </c>
      <c r="D12" s="49">
        <f t="shared" ref="D12:G12" si="8">D11/D6</f>
        <v>3.8618934626362671E-2</v>
      </c>
      <c r="E12" s="49">
        <f t="shared" si="8"/>
        <v>3.4421860450181418E-2</v>
      </c>
      <c r="F12" s="89">
        <f t="shared" si="8"/>
        <v>2.9711145808311315E-2</v>
      </c>
      <c r="G12" s="89">
        <f t="shared" si="8"/>
        <v>2.3922153379438003E-2</v>
      </c>
      <c r="H12" s="89">
        <v>0.02</v>
      </c>
      <c r="I12" s="89">
        <v>1.4999999999999999E-2</v>
      </c>
      <c r="J12" s="89">
        <v>1.4999999999999999E-2</v>
      </c>
      <c r="K12" s="89">
        <v>1.2500000000000001E-2</v>
      </c>
      <c r="L12" s="89">
        <v>1.2500000000000001E-2</v>
      </c>
      <c r="M12" s="89">
        <v>1.0999999999999999E-2</v>
      </c>
      <c r="N12" s="89">
        <v>1.0999999999999999E-2</v>
      </c>
      <c r="O12" s="92">
        <v>1.0500000000000001E-2</v>
      </c>
      <c r="P12" s="89">
        <v>0.01</v>
      </c>
    </row>
    <row r="13" spans="2:16" x14ac:dyDescent="0.2">
      <c r="B13" s="40" t="s">
        <v>43</v>
      </c>
      <c r="C13" s="34">
        <v>1834</v>
      </c>
      <c r="D13" s="34">
        <v>1303</v>
      </c>
      <c r="E13" s="34">
        <v>980</v>
      </c>
      <c r="F13" s="34">
        <v>1222</v>
      </c>
      <c r="G13" s="34">
        <v>1527</v>
      </c>
      <c r="H13" s="68">
        <f>H6*H14</f>
        <v>1579.3855425852084</v>
      </c>
      <c r="I13" s="68">
        <f t="shared" ref="I13:P13" si="9">I6*I14</f>
        <v>1176.603408197617</v>
      </c>
      <c r="J13" s="68">
        <f t="shared" si="9"/>
        <v>2247.8758649476185</v>
      </c>
      <c r="K13" s="68">
        <f t="shared" si="9"/>
        <v>4448.3077115566148</v>
      </c>
      <c r="L13" s="68">
        <f t="shared" si="9"/>
        <v>4806.9657233234384</v>
      </c>
      <c r="M13" s="68">
        <f t="shared" si="9"/>
        <v>7335.0483318814322</v>
      </c>
      <c r="N13" s="68">
        <f t="shared" si="9"/>
        <v>8151.186007766596</v>
      </c>
      <c r="O13" s="68">
        <f t="shared" si="9"/>
        <v>8548.6241218761279</v>
      </c>
      <c r="P13" s="68">
        <f t="shared" si="9"/>
        <v>9023.0951140044544</v>
      </c>
    </row>
    <row r="14" spans="2:16" x14ac:dyDescent="0.2">
      <c r="B14" s="41" t="s">
        <v>41</v>
      </c>
      <c r="C14" s="92">
        <f>C13/C6</f>
        <v>2.3955380817408795E-2</v>
      </c>
      <c r="D14" s="92">
        <f t="shared" ref="D14:G14" si="10">D13/D6</f>
        <v>2.2404484335774959E-2</v>
      </c>
      <c r="E14" s="92">
        <f t="shared" si="10"/>
        <v>1.5733872780400091E-2</v>
      </c>
      <c r="F14" s="92">
        <f t="shared" si="10"/>
        <v>1.8346144607254384E-2</v>
      </c>
      <c r="G14" s="92">
        <f t="shared" si="10"/>
        <v>1.9628763143687174E-2</v>
      </c>
      <c r="H14" s="92">
        <f>AVERAGE(C14:G14)</f>
        <v>2.0013729136905078E-2</v>
      </c>
      <c r="I14" s="92">
        <f>AVERAGE(D14:H14)</f>
        <v>1.9225398800804337E-2</v>
      </c>
      <c r="J14" s="92">
        <f>AVERAGE(E14:I14)</f>
        <v>1.8589581693810215E-2</v>
      </c>
      <c r="K14" s="92">
        <f>AVERAGE(F14:J14)</f>
        <v>1.9160723476492239E-2</v>
      </c>
      <c r="L14" s="92">
        <f>AVERAGE(G14:K14)</f>
        <v>1.9323639250339808E-2</v>
      </c>
      <c r="M14" s="92">
        <f>AVERAGE(H14:L14)</f>
        <v>1.9262614471670336E-2</v>
      </c>
      <c r="N14" s="92">
        <f>AVERAGE(I14:M14)</f>
        <v>1.9112391538623388E-2</v>
      </c>
      <c r="O14" s="92">
        <f>AVERAGE(J14:N14)</f>
        <v>1.9089790086187199E-2</v>
      </c>
      <c r="P14" s="92">
        <f>AVERAGE(K14:O14)</f>
        <v>1.9189831764662595E-2</v>
      </c>
    </row>
    <row r="15" spans="2:16" x14ac:dyDescent="0.2">
      <c r="B15" s="35" t="s">
        <v>44</v>
      </c>
      <c r="C15" s="45">
        <v>0</v>
      </c>
      <c r="D15" s="68">
        <f>D10+D11-D13-D38</f>
        <v>-18617.599999999999</v>
      </c>
      <c r="E15" s="68">
        <f>E10+E11-E13-E38</f>
        <v>-1938</v>
      </c>
      <c r="F15" s="68">
        <f>F10+F11-F13-F38</f>
        <v>2240.7999999999997</v>
      </c>
      <c r="G15" s="68">
        <f>G10+G11-G13-G38</f>
        <v>4163.6000000000004</v>
      </c>
      <c r="H15" s="68">
        <f>H10+H11-H13-H38</f>
        <v>4377.7900416159528</v>
      </c>
      <c r="I15" s="68">
        <f>I10+I11-I13-I38</f>
        <v>23555.677015578603</v>
      </c>
      <c r="J15" s="68">
        <f>J10+J11-J13-J38</f>
        <v>-29651.832730469876</v>
      </c>
      <c r="K15" s="68">
        <f>K10+K11-K13-K38</f>
        <v>24087.226442500243</v>
      </c>
      <c r="L15" s="68">
        <f>L10+L11-L13-L38</f>
        <v>111659.20223365324</v>
      </c>
      <c r="M15" s="68">
        <f>M10+M11-M13-M38</f>
        <v>18360.912148147247</v>
      </c>
      <c r="N15" s="68">
        <f>N10+N11-N13-N38</f>
        <v>115976.98960758952</v>
      </c>
      <c r="O15" s="68">
        <f>O10+O11-O13-O38</f>
        <v>51708.716048194285</v>
      </c>
      <c r="P15" s="68">
        <f>P10+P11-P13-P38</f>
        <v>35816.827874127521</v>
      </c>
    </row>
    <row r="16" spans="2:16" x14ac:dyDescent="0.2">
      <c r="B16" s="35" t="s">
        <v>82</v>
      </c>
      <c r="C16" s="45"/>
      <c r="D16" s="117"/>
      <c r="E16" s="117"/>
      <c r="F16" s="117"/>
      <c r="G16" s="117"/>
      <c r="H16" s="47">
        <f>(1+C57)^(H5-G5)</f>
        <v>1.1091114214107745</v>
      </c>
      <c r="I16" s="47">
        <f>(1+C57)^(I5-G5)</f>
        <v>1.2301281451038286</v>
      </c>
      <c r="J16" s="47">
        <f>(1+C57)^(J5-G5)</f>
        <v>1.3643491755335069</v>
      </c>
      <c r="K16" s="47">
        <f>(1+C57)^(K5-G5)</f>
        <v>1.5132152533765861</v>
      </c>
      <c r="L16" s="47">
        <f>(1+C57)^(L5-G5)</f>
        <v>1.6783243205729708</v>
      </c>
      <c r="M16" s="47">
        <f>(1+C57)^(M5-G5)</f>
        <v>1.8614486727789599</v>
      </c>
      <c r="N16" s="47">
        <f>(1+C57)^(N5-G5)</f>
        <v>2.064553983349072</v>
      </c>
      <c r="O16" s="47">
        <f>(1+C57)^(O5-G5)</f>
        <v>2.2898204030515656</v>
      </c>
      <c r="P16" s="47">
        <f>(1+C57)^(P5-G5)</f>
        <v>2.5396659620039146</v>
      </c>
    </row>
    <row r="17" spans="2:16" ht="16" thickBot="1" x14ac:dyDescent="0.25">
      <c r="B17" s="36" t="s">
        <v>45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118">
        <f>H15/H16</f>
        <v>3947.1147416798431</v>
      </c>
      <c r="I17" s="118">
        <f t="shared" ref="I17:P17" si="11">I15/I16</f>
        <v>19148.961926718937</v>
      </c>
      <c r="J17" s="118">
        <f t="shared" si="11"/>
        <v>-21733.316706755075</v>
      </c>
      <c r="K17" s="118">
        <f t="shared" si="11"/>
        <v>15917.911472774309</v>
      </c>
      <c r="L17" s="118">
        <f t="shared" si="11"/>
        <v>66530.169923017864</v>
      </c>
      <c r="M17" s="118">
        <f t="shared" si="11"/>
        <v>9863.7756800117459</v>
      </c>
      <c r="N17" s="118">
        <f t="shared" si="11"/>
        <v>56175.324328140996</v>
      </c>
      <c r="O17" s="118">
        <f t="shared" si="11"/>
        <v>22581.996378093165</v>
      </c>
      <c r="P17" s="118">
        <f t="shared" si="11"/>
        <v>14102.968032010942</v>
      </c>
    </row>
    <row r="18" spans="2:16" ht="16" thickBo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6" ht="14" customHeight="1" x14ac:dyDescent="0.2">
      <c r="B19" s="26" t="s">
        <v>29</v>
      </c>
      <c r="C19" s="16" t="s">
        <v>0</v>
      </c>
      <c r="D19" s="16"/>
      <c r="E19" s="16"/>
      <c r="F19" s="16"/>
      <c r="G19" s="16"/>
      <c r="H19" s="17" t="s">
        <v>1</v>
      </c>
      <c r="I19" s="17"/>
      <c r="J19" s="17"/>
      <c r="K19" s="17"/>
      <c r="L19" s="17"/>
      <c r="M19" s="17"/>
      <c r="N19" s="17"/>
      <c r="O19" s="17"/>
      <c r="P19" s="18"/>
    </row>
    <row r="20" spans="2:16" ht="14" customHeight="1" x14ac:dyDescent="0.2">
      <c r="B20" s="27"/>
      <c r="C20" s="14"/>
      <c r="D20" s="14"/>
      <c r="E20" s="14"/>
      <c r="F20" s="14"/>
      <c r="G20" s="14"/>
      <c r="H20" s="15"/>
      <c r="I20" s="15"/>
      <c r="J20" s="15"/>
      <c r="K20" s="15"/>
      <c r="L20" s="15"/>
      <c r="M20" s="15"/>
      <c r="N20" s="15"/>
      <c r="O20" s="15"/>
      <c r="P20" s="19"/>
    </row>
    <row r="21" spans="2:16" ht="14" customHeight="1" x14ac:dyDescent="0.2">
      <c r="B21" s="27"/>
      <c r="C21" s="14"/>
      <c r="D21" s="14"/>
      <c r="E21" s="14"/>
      <c r="F21" s="14"/>
      <c r="G21" s="14"/>
      <c r="H21" s="15"/>
      <c r="I21" s="15"/>
      <c r="J21" s="15"/>
      <c r="K21" s="15"/>
      <c r="L21" s="15"/>
      <c r="M21" s="15"/>
      <c r="N21" s="15"/>
      <c r="O21" s="15"/>
      <c r="P21" s="19"/>
    </row>
    <row r="22" spans="2:16" ht="16" x14ac:dyDescent="0.2">
      <c r="B22" s="20"/>
      <c r="C22" s="21">
        <v>2019</v>
      </c>
      <c r="D22" s="21">
        <v>2020</v>
      </c>
      <c r="E22" s="21">
        <v>2021</v>
      </c>
      <c r="F22" s="21">
        <f t="shared" ref="F22:M22" si="12">E22+1</f>
        <v>2022</v>
      </c>
      <c r="G22" s="21">
        <f t="shared" si="12"/>
        <v>2023</v>
      </c>
      <c r="H22" s="21">
        <f>G22+1</f>
        <v>2024</v>
      </c>
      <c r="I22" s="21">
        <f t="shared" si="12"/>
        <v>2025</v>
      </c>
      <c r="J22" s="21">
        <f t="shared" si="12"/>
        <v>2026</v>
      </c>
      <c r="K22" s="21">
        <f t="shared" si="12"/>
        <v>2027</v>
      </c>
      <c r="L22" s="21">
        <f t="shared" si="12"/>
        <v>2028</v>
      </c>
      <c r="M22" s="21">
        <f t="shared" si="12"/>
        <v>2029</v>
      </c>
      <c r="N22" s="10">
        <v>2030</v>
      </c>
      <c r="O22" s="10">
        <v>2031</v>
      </c>
      <c r="P22" s="11">
        <v>2032</v>
      </c>
    </row>
    <row r="23" spans="2:16" ht="16" x14ac:dyDescent="0.2">
      <c r="B23" s="29" t="s">
        <v>24</v>
      </c>
      <c r="C23" s="32">
        <v>3266</v>
      </c>
      <c r="D23" s="32">
        <v>1955</v>
      </c>
      <c r="E23" s="32">
        <v>2641</v>
      </c>
      <c r="F23" s="32">
        <v>2517</v>
      </c>
      <c r="G23" s="32">
        <v>2649</v>
      </c>
      <c r="H23" s="28">
        <f>((G23-F23)/2)+G23</f>
        <v>2715</v>
      </c>
      <c r="I23" s="28">
        <f>I24*I6</f>
        <v>2276.1611537967296</v>
      </c>
      <c r="J23" s="28">
        <f>J24*J6</f>
        <v>4583.787406430336</v>
      </c>
      <c r="K23" s="28">
        <f>K24*K6</f>
        <v>8591.783734512559</v>
      </c>
      <c r="L23" s="28">
        <f>L24*L6</f>
        <v>9167.4459160330862</v>
      </c>
      <c r="M23" s="28">
        <f>M24*M6</f>
        <v>14246.429706693034</v>
      </c>
      <c r="N23" s="28">
        <f>N24*N6</f>
        <v>15897.095493336286</v>
      </c>
      <c r="O23" s="28">
        <f>O24*O6</f>
        <v>16699.350335628482</v>
      </c>
      <c r="P23" s="28">
        <f>P24*P6</f>
        <v>17476.373587867329</v>
      </c>
    </row>
    <row r="24" spans="2:16" ht="16" x14ac:dyDescent="0.2">
      <c r="B24" s="23" t="s">
        <v>30</v>
      </c>
      <c r="C24" s="102">
        <f>C23/C6</f>
        <v>4.2659909350958085E-2</v>
      </c>
      <c r="D24" s="102">
        <f>D23/D6</f>
        <v>3.3615323773169642E-2</v>
      </c>
      <c r="E24" s="102">
        <f>E23/E6</f>
        <v>4.240118164595575E-2</v>
      </c>
      <c r="F24" s="102">
        <f>F23/F6</f>
        <v>3.7788253663223637E-2</v>
      </c>
      <c r="G24" s="102">
        <f>G23/G6</f>
        <v>3.4051469264981878E-2</v>
      </c>
      <c r="H24" s="102">
        <f>AVERAGE(C24:G24)</f>
        <v>3.8103227539657794E-2</v>
      </c>
      <c r="I24" s="102">
        <f t="shared" ref="I24:P24" si="13">AVERAGE(D24:H24)</f>
        <v>3.719189117739774E-2</v>
      </c>
      <c r="J24" s="102">
        <f t="shared" si="13"/>
        <v>3.7907204658243356E-2</v>
      </c>
      <c r="K24" s="102">
        <f t="shared" si="13"/>
        <v>3.7008409260700877E-2</v>
      </c>
      <c r="L24" s="102">
        <f t="shared" si="13"/>
        <v>3.6852440380196326E-2</v>
      </c>
      <c r="M24" s="102">
        <f t="shared" si="13"/>
        <v>3.7412634603239223E-2</v>
      </c>
      <c r="N24" s="102">
        <f t="shared" si="13"/>
        <v>3.7274516015955508E-2</v>
      </c>
      <c r="O24" s="102">
        <f t="shared" si="13"/>
        <v>3.7291040983667055E-2</v>
      </c>
      <c r="P24" s="102">
        <f t="shared" si="13"/>
        <v>3.7167808248751801E-2</v>
      </c>
    </row>
    <row r="25" spans="2:16" ht="16" x14ac:dyDescent="0.2">
      <c r="B25" s="29" t="s">
        <v>33</v>
      </c>
      <c r="C25" s="32">
        <v>76622</v>
      </c>
      <c r="D25" s="32">
        <v>81715</v>
      </c>
      <c r="E25" s="32">
        <v>78823</v>
      </c>
      <c r="F25" s="32">
        <v>78151</v>
      </c>
      <c r="G25" s="32">
        <v>79741</v>
      </c>
      <c r="H25" s="28">
        <f>H6*H26</f>
        <v>75039.797937722586</v>
      </c>
      <c r="I25" s="28">
        <f>I6*I26</f>
        <v>48960.374570680578</v>
      </c>
      <c r="J25" s="28">
        <f>J6*J26</f>
        <v>87613.948726521441</v>
      </c>
      <c r="K25" s="28">
        <f>K6*K26</f>
        <v>146259.29243845597</v>
      </c>
      <c r="L25" s="28">
        <f>L6*L26</f>
        <v>129355.66348270717</v>
      </c>
      <c r="M25" s="28">
        <f>M6*M26</f>
        <v>177068.25204549206</v>
      </c>
      <c r="N25" s="28">
        <f>N6*N26</f>
        <v>186588.05054256151</v>
      </c>
      <c r="O25" s="28">
        <f>O6*O26</f>
        <v>189760.04740178504</v>
      </c>
      <c r="P25" s="28">
        <f>P6*P26</f>
        <v>188080.75494690205</v>
      </c>
    </row>
    <row r="26" spans="2:16" ht="16" x14ac:dyDescent="0.2">
      <c r="B26" s="23" t="s">
        <v>30</v>
      </c>
      <c r="C26" s="102">
        <f>C25/C6</f>
        <v>1.0008228947609032</v>
      </c>
      <c r="D26" s="102">
        <f>D25/D6</f>
        <v>1.4050517555624333</v>
      </c>
      <c r="E26" s="102">
        <f>E25/E6</f>
        <v>1.2655010756831391</v>
      </c>
      <c r="F26" s="102">
        <f>F25/F6</f>
        <v>1.1732975018015854</v>
      </c>
      <c r="G26" s="102">
        <f>G25/G6</f>
        <v>1.0250276370928348</v>
      </c>
      <c r="H26" s="101">
        <f>((G26-F26)/2)+G26</f>
        <v>0.95089270473845955</v>
      </c>
      <c r="I26" s="101">
        <v>0.8</v>
      </c>
      <c r="J26" s="101">
        <f t="shared" ref="J26:O26" si="14">((I26-H26)/2)+I26</f>
        <v>0.72455364763077035</v>
      </c>
      <c r="K26" s="101">
        <v>0.63</v>
      </c>
      <c r="L26" s="101">
        <v>0.52</v>
      </c>
      <c r="M26" s="101">
        <f t="shared" si="14"/>
        <v>0.46500000000000002</v>
      </c>
      <c r="N26" s="101">
        <f t="shared" si="14"/>
        <v>0.4375</v>
      </c>
      <c r="O26" s="101">
        <f t="shared" si="14"/>
        <v>0.42374999999999996</v>
      </c>
      <c r="P26" s="116">
        <v>0.4</v>
      </c>
    </row>
    <row r="27" spans="2:16" ht="16" x14ac:dyDescent="0.2">
      <c r="B27" s="29" t="s">
        <v>35</v>
      </c>
      <c r="C27" s="32">
        <f>3106 + 86</f>
        <v>3192</v>
      </c>
      <c r="D27" s="32">
        <f>683 + 4286</f>
        <v>4969</v>
      </c>
      <c r="E27" s="32">
        <f>2221+77</f>
        <v>2298</v>
      </c>
      <c r="F27" s="32">
        <f>63+ 2847</f>
        <v>2910</v>
      </c>
      <c r="G27" s="32">
        <f>59+2504</f>
        <v>2563</v>
      </c>
      <c r="H27" s="28">
        <f>H6*H28</f>
        <v>3062.3419365033337</v>
      </c>
      <c r="I27" s="28">
        <f>I6*I28</f>
        <v>3073.4816808691166</v>
      </c>
      <c r="J27" s="28">
        <f>J6*J28</f>
        <v>4802.5618239799614</v>
      </c>
      <c r="K27" s="28">
        <f>K6*K28</f>
        <v>10007.751945884729</v>
      </c>
      <c r="L27" s="28">
        <f>L6*L28</f>
        <v>10322.949005669772</v>
      </c>
      <c r="M27" s="28">
        <f>M6*M28</f>
        <v>15529.362698143761</v>
      </c>
      <c r="N27" s="28">
        <f>N6*N28</f>
        <v>18723.493530526655</v>
      </c>
      <c r="O27" s="28">
        <f>O6*O28</f>
        <v>18572.676817643085</v>
      </c>
      <c r="P27" s="28">
        <f>P6*P28</f>
        <v>19897.220862384165</v>
      </c>
    </row>
    <row r="28" spans="2:16" ht="16" x14ac:dyDescent="0.2">
      <c r="B28" s="23" t="s">
        <v>30</v>
      </c>
      <c r="C28" s="102">
        <f>C27/C6</f>
        <v>4.1693334552436685E-2</v>
      </c>
      <c r="D28" s="102">
        <f>D27/D6</f>
        <v>8.5439664362598436E-2</v>
      </c>
      <c r="E28" s="102">
        <f>E27/E6</f>
        <v>3.6894326172815718E-2</v>
      </c>
      <c r="F28" s="102">
        <f>F27/F6</f>
        <v>4.3688445832332452E-2</v>
      </c>
      <c r="G28" s="102">
        <f>G27/G6</f>
        <v>3.2945985551584955E-2</v>
      </c>
      <c r="H28" s="102">
        <f>AVERAGE(C28,E28,F28,G28)</f>
        <v>3.8805523027292455E-2</v>
      </c>
      <c r="I28" s="102">
        <f t="shared" ref="I28:P28" si="15">AVERAGE(D28,F28,G28,H28)</f>
        <v>5.0219904693452076E-2</v>
      </c>
      <c r="J28" s="102">
        <f t="shared" si="15"/>
        <v>3.9716434861286301E-2</v>
      </c>
      <c r="K28" s="102">
        <f t="shared" si="15"/>
        <v>4.3107577103590825E-2</v>
      </c>
      <c r="L28" s="102">
        <f t="shared" si="15"/>
        <v>4.1497475552478541E-2</v>
      </c>
      <c r="M28" s="102">
        <f t="shared" si="15"/>
        <v>4.078175263616203E-2</v>
      </c>
      <c r="N28" s="102">
        <f t="shared" si="15"/>
        <v>4.3901677496420863E-2</v>
      </c>
      <c r="O28" s="102">
        <f t="shared" si="15"/>
        <v>4.1474335136586937E-2</v>
      </c>
      <c r="P28" s="102">
        <f t="shared" si="15"/>
        <v>4.231633559319016E-2</v>
      </c>
    </row>
    <row r="29" spans="2:16" ht="16" x14ac:dyDescent="0.2">
      <c r="B29" s="33" t="s">
        <v>25</v>
      </c>
      <c r="C29" s="32">
        <v>15553</v>
      </c>
      <c r="D29" s="32">
        <v>12928</v>
      </c>
      <c r="E29" s="32">
        <v>9261</v>
      </c>
      <c r="F29" s="32">
        <v>10200</v>
      </c>
      <c r="G29" s="32">
        <v>11964</v>
      </c>
      <c r="H29" s="32">
        <f>H6*H30</f>
        <v>11984.853804244336</v>
      </c>
      <c r="I29" s="32">
        <f>I6*I30</f>
        <v>9359.5049404317069</v>
      </c>
      <c r="J29" s="32">
        <f>J6*J30</f>
        <v>18484.54602379982</v>
      </c>
      <c r="K29" s="32">
        <f>K6*K30</f>
        <v>35416.914644488643</v>
      </c>
      <c r="L29" s="32">
        <f>L6*L30</f>
        <v>38006.659011216267</v>
      </c>
      <c r="M29" s="32">
        <f>M6*M30</f>
        <v>58160.089471209205</v>
      </c>
      <c r="N29" s="32">
        <f>N6*N30</f>
        <v>65120.855604983815</v>
      </c>
      <c r="O29" s="32">
        <f>O6*O30</f>
        <v>68397.174500056062</v>
      </c>
      <c r="P29" s="32">
        <f>P6*P30</f>
        <v>71809.618336200889</v>
      </c>
    </row>
    <row r="30" spans="2:16" ht="16" x14ac:dyDescent="0.2">
      <c r="B30" s="24" t="s">
        <v>30</v>
      </c>
      <c r="C30" s="102">
        <f>C29/C6</f>
        <v>0.2031505113703157</v>
      </c>
      <c r="D30" s="102">
        <f>D29/D6</f>
        <v>0.22229100037827987</v>
      </c>
      <c r="E30" s="102">
        <f>E29/E6</f>
        <v>0.14868509777478084</v>
      </c>
      <c r="F30" s="102">
        <f>F29/F6</f>
        <v>0.15313475858755704</v>
      </c>
      <c r="G30" s="102">
        <f>G29/G6</f>
        <v>0.15379078078000874</v>
      </c>
      <c r="H30" s="102">
        <f>AVERAGE(E30:G30)</f>
        <v>0.15187021238078222</v>
      </c>
      <c r="I30" s="102">
        <f t="shared" ref="I30:P30" si="16">AVERAGE(F30:H30)</f>
        <v>0.15293191724944932</v>
      </c>
      <c r="J30" s="102">
        <f t="shared" si="16"/>
        <v>0.15286430347008009</v>
      </c>
      <c r="K30" s="102">
        <f t="shared" si="16"/>
        <v>0.15255547770010389</v>
      </c>
      <c r="L30" s="102">
        <f t="shared" si="16"/>
        <v>0.15278389947321111</v>
      </c>
      <c r="M30" s="102">
        <f t="shared" si="16"/>
        <v>0.15273456021446505</v>
      </c>
      <c r="N30" s="102">
        <f t="shared" si="16"/>
        <v>0.15269131246259335</v>
      </c>
      <c r="O30" s="102">
        <f t="shared" si="16"/>
        <v>0.15273659071675649</v>
      </c>
      <c r="P30" s="102">
        <f t="shared" si="16"/>
        <v>0.15272082113127164</v>
      </c>
    </row>
    <row r="31" spans="2:16" ht="16" x14ac:dyDescent="0.2">
      <c r="B31" s="33" t="s">
        <v>36</v>
      </c>
      <c r="C31" s="32">
        <v>22868</v>
      </c>
      <c r="D31" s="32">
        <v>22171</v>
      </c>
      <c r="E31" s="32">
        <v>18455</v>
      </c>
      <c r="F31" s="32">
        <v>21581</v>
      </c>
      <c r="G31" s="32">
        <v>22331</v>
      </c>
      <c r="H31" s="32">
        <f>H6*H32</f>
        <v>23793.799051010963</v>
      </c>
      <c r="I31" s="32">
        <f>I6*H32</f>
        <v>18452.635103042019</v>
      </c>
      <c r="J31" s="32">
        <f>J6*I32</f>
        <v>39111.518967650787</v>
      </c>
      <c r="K31" s="32">
        <f>K6*J32</f>
        <v>70129.298161695973</v>
      </c>
      <c r="L31" s="32">
        <f>L6*K32</f>
        <v>77802.073655540502</v>
      </c>
      <c r="M31" s="32">
        <f>M6*L32</f>
        <v>116649.31199708427</v>
      </c>
      <c r="N31" s="32">
        <f>N6*M32</f>
        <v>130364.22004056968</v>
      </c>
      <c r="O31" s="32">
        <f>O6*N32</f>
        <v>139740.41155910946</v>
      </c>
      <c r="P31" s="32">
        <f>P6*O32</f>
        <v>144132.34391691067</v>
      </c>
    </row>
    <row r="32" spans="2:16" ht="16" x14ac:dyDescent="0.2">
      <c r="B32" s="24" t="s">
        <v>30</v>
      </c>
      <c r="C32" s="102">
        <f>C31/C6</f>
        <v>0.29869773638631641</v>
      </c>
      <c r="D32" s="102">
        <f>D31/D6</f>
        <v>0.38122012448846249</v>
      </c>
      <c r="E32" s="102">
        <f>E31/E6</f>
        <v>0.29629451241049354</v>
      </c>
      <c r="F32" s="102">
        <f>F31/F6</f>
        <v>0.32400012010569301</v>
      </c>
      <c r="G32" s="102">
        <f>G31/G6</f>
        <v>0.28705298609147234</v>
      </c>
      <c r="H32" s="102">
        <f>AVERAGE(E32:G32,C32)</f>
        <v>0.30151133874849384</v>
      </c>
      <c r="I32" s="102">
        <f t="shared" ref="I32:P32" si="17">AVERAGE(F32:H32,D32)</f>
        <v>0.32344614235853042</v>
      </c>
      <c r="J32" s="102">
        <f t="shared" si="17"/>
        <v>0.30207624490224749</v>
      </c>
      <c r="K32" s="102">
        <f t="shared" si="17"/>
        <v>0.31275846152874121</v>
      </c>
      <c r="L32" s="102">
        <f t="shared" si="17"/>
        <v>0.30633345872024786</v>
      </c>
      <c r="M32" s="102">
        <f t="shared" si="17"/>
        <v>0.30566987597493261</v>
      </c>
      <c r="N32" s="102">
        <f t="shared" si="17"/>
        <v>0.31205198464561301</v>
      </c>
      <c r="O32" s="102">
        <f t="shared" si="17"/>
        <v>0.30653289106076026</v>
      </c>
      <c r="P32" s="102">
        <f t="shared" si="17"/>
        <v>0.30925330330251177</v>
      </c>
    </row>
    <row r="33" spans="2:16" ht="16" x14ac:dyDescent="0.2">
      <c r="B33" s="33" t="s">
        <v>38</v>
      </c>
      <c r="C33" s="32">
        <v>51551</v>
      </c>
      <c r="D33" s="32">
        <v>50488</v>
      </c>
      <c r="E33" s="32">
        <v>52980</v>
      </c>
      <c r="F33" s="32">
        <v>53018</v>
      </c>
      <c r="G33" s="32">
        <v>56328</v>
      </c>
      <c r="H33" s="32">
        <f>H6*G34</f>
        <v>57139.754379317361</v>
      </c>
      <c r="I33" s="32">
        <f>H6*I34</f>
        <v>63466.151826454538</v>
      </c>
      <c r="J33" s="32">
        <f>I6*J34</f>
        <v>48437.49771937036</v>
      </c>
      <c r="K33" s="32">
        <f>J6*K34</f>
        <v>94273.743145054104</v>
      </c>
      <c r="L33" s="32">
        <f>K6*L34</f>
        <v>180238.07383204493</v>
      </c>
      <c r="M33" s="32">
        <f>L6*M34</f>
        <v>195729.98933599039</v>
      </c>
      <c r="N33" s="32">
        <f>M6*N34</f>
        <v>299949.75758299825</v>
      </c>
      <c r="O33" s="32">
        <f>N6*O34</f>
        <v>334533.47314771614</v>
      </c>
      <c r="P33" s="32">
        <f>O6*P34</f>
        <v>350627.55554961145</v>
      </c>
    </row>
    <row r="34" spans="2:16" ht="16" x14ac:dyDescent="0.2">
      <c r="B34" s="24" t="s">
        <v>30</v>
      </c>
      <c r="C34" s="102">
        <f>C33/C6</f>
        <v>0.67334996538617276</v>
      </c>
      <c r="D34" s="102">
        <f>D33/D6</f>
        <v>0.86811788575948279</v>
      </c>
      <c r="E34" s="102">
        <f>E33/E6</f>
        <v>0.85059242847509875</v>
      </c>
      <c r="F34" s="102">
        <f>F33/F6</f>
        <v>0.7959704539995196</v>
      </c>
      <c r="G34" s="102">
        <f>G33/G6</f>
        <v>0.72406612335141529</v>
      </c>
      <c r="H34" s="102">
        <f>AVERAGE(C34:G34)</f>
        <v>0.78241937139433793</v>
      </c>
      <c r="I34" s="102">
        <f t="shared" ref="I34:P34" si="18">AVERAGE(D34:H34)</f>
        <v>0.804233252595971</v>
      </c>
      <c r="J34" s="102">
        <f t="shared" si="18"/>
        <v>0.79145632596326843</v>
      </c>
      <c r="K34" s="102">
        <f t="shared" si="18"/>
        <v>0.77962910546090236</v>
      </c>
      <c r="L34" s="102">
        <f t="shared" si="18"/>
        <v>0.77636083575317905</v>
      </c>
      <c r="M34" s="102">
        <f t="shared" si="18"/>
        <v>0.78681977823353166</v>
      </c>
      <c r="N34" s="102">
        <f t="shared" si="18"/>
        <v>0.78769985960137057</v>
      </c>
      <c r="O34" s="102">
        <f t="shared" si="18"/>
        <v>0.78439318100245037</v>
      </c>
      <c r="P34" s="102">
        <f t="shared" si="18"/>
        <v>0.78298055201028682</v>
      </c>
    </row>
    <row r="35" spans="2:16" ht="16" x14ac:dyDescent="0.2">
      <c r="B35" s="33" t="s">
        <v>37</v>
      </c>
      <c r="C35" s="32">
        <v>413</v>
      </c>
      <c r="D35" s="32">
        <v>1010</v>
      </c>
      <c r="E35" s="32">
        <v>218</v>
      </c>
      <c r="F35" s="32">
        <v>230</v>
      </c>
      <c r="G35" s="32">
        <v>229</v>
      </c>
      <c r="H35" s="32">
        <f>H6*H36</f>
        <v>301.67719113962806</v>
      </c>
      <c r="I35" s="32">
        <f>I6*I36</f>
        <v>422.06905197285016</v>
      </c>
      <c r="J35" s="32">
        <f>J6*J36</f>
        <v>518.84182160434079</v>
      </c>
      <c r="K35" s="32">
        <f>K6*K36</f>
        <v>1071.5864896858393</v>
      </c>
      <c r="L35" s="32">
        <f>L6*L36</f>
        <v>1165.8604807479085</v>
      </c>
      <c r="M35" s="32">
        <f>M6*M36</f>
        <v>1657.9671601200232</v>
      </c>
      <c r="N35" s="32">
        <f>N6*N36</f>
        <v>2191.3903533703565</v>
      </c>
      <c r="O35" s="32">
        <f>O6*O36</f>
        <v>2067.7289714591716</v>
      </c>
      <c r="P35" s="32">
        <f>P6*P36</f>
        <v>2201.1814131625279</v>
      </c>
    </row>
    <row r="36" spans="2:16" ht="16" x14ac:dyDescent="0.2">
      <c r="B36" s="24" t="s">
        <v>31</v>
      </c>
      <c r="C36" s="102">
        <f>C35/C6</f>
        <v>5.3945323214775534E-3</v>
      </c>
      <c r="D36" s="102">
        <f>D35/D6</f>
        <v>1.7366484404553115E-2</v>
      </c>
      <c r="E36" s="102">
        <f>E35/E6</f>
        <v>3.4999839450277751E-3</v>
      </c>
      <c r="F36" s="102">
        <f>F35/F6</f>
        <v>3.453038674033149E-3</v>
      </c>
      <c r="G36" s="102">
        <f>G35/G6</f>
        <v>2.9436717484638917E-3</v>
      </c>
      <c r="H36" s="103">
        <f>AVERAGE(C36,E36:G36)</f>
        <v>3.8228066722505922E-3</v>
      </c>
      <c r="I36" s="103">
        <f t="shared" ref="I36:P36" si="19">AVERAGE(D36,F36:H36)</f>
        <v>6.8965003748251864E-3</v>
      </c>
      <c r="J36" s="103">
        <f t="shared" si="19"/>
        <v>4.2907406851418611E-3</v>
      </c>
      <c r="K36" s="103">
        <f t="shared" si="19"/>
        <v>4.6157716015626966E-3</v>
      </c>
      <c r="L36" s="103">
        <f t="shared" si="19"/>
        <v>4.686671102498409E-3</v>
      </c>
      <c r="M36" s="103">
        <f t="shared" si="19"/>
        <v>4.3539975153633892E-3</v>
      </c>
      <c r="N36" s="103">
        <f t="shared" si="19"/>
        <v>5.1382351485624207E-3</v>
      </c>
      <c r="O36" s="103">
        <f t="shared" si="19"/>
        <v>4.61741111289152E-3</v>
      </c>
      <c r="P36" s="103">
        <f t="shared" si="19"/>
        <v>4.6813538445950069E-3</v>
      </c>
    </row>
    <row r="37" spans="2:16" ht="16" x14ac:dyDescent="0.2">
      <c r="B37" s="37" t="s">
        <v>26</v>
      </c>
      <c r="C37" s="28">
        <f>SUM(C23,C25,C27)-SUM(C29,C31,C33,C35)</f>
        <v>-7305</v>
      </c>
      <c r="D37" s="28">
        <f>SUM(D23,D25,D27)-SUM(D29,D31,D33,D35)</f>
        <v>2042</v>
      </c>
      <c r="E37" s="28">
        <f>SUM(E23,E25,E27)-SUM(E29,E31,E33,E35)</f>
        <v>2848</v>
      </c>
      <c r="F37" s="28">
        <f>SUM(F23,F25,F27)-SUM(F29,F31,F33,F35)</f>
        <v>-1451</v>
      </c>
      <c r="G37" s="28">
        <f>SUM(G23,G25,G27)-SUM(G29,G31,G33,G35)</f>
        <v>-5899</v>
      </c>
      <c r="H37" s="28">
        <f>SUM(H23,H25,H27)-SUM(H29,H31,H33,H35)</f>
        <v>-12402.944551486362</v>
      </c>
      <c r="I37" s="28">
        <f>SUM(I23,I25,I27)-SUM(I29,I31,I33,I35)</f>
        <v>-37390.343516554683</v>
      </c>
      <c r="J37" s="28">
        <f>SUM(J23,J25,J27)-SUM(J29,J31,J33,J35)</f>
        <v>-9552.1065754935553</v>
      </c>
      <c r="K37" s="28">
        <f>SUM(K23,K25,K27)-SUM(K29,K31,K33,K35)</f>
        <v>-36032.71432207129</v>
      </c>
      <c r="L37" s="28">
        <f>SUM(L23,L25,L27)-SUM(L29,L31,L33,L35)</f>
        <v>-148366.60857513954</v>
      </c>
      <c r="M37" s="28">
        <f>SUM(M23,M25,M27)-SUM(M29,M31,M33,M35)</f>
        <v>-165353.31351407507</v>
      </c>
      <c r="N37" s="28">
        <f>SUM(N23,N25,N27)-SUM(N29,N31,N33,N35)</f>
        <v>-276417.58401549765</v>
      </c>
      <c r="O37" s="28">
        <f>SUM(O23,O25,O27)-SUM(O29,O31,O33,O35)</f>
        <v>-319706.71362328425</v>
      </c>
      <c r="P37" s="28">
        <f>SUM(P23,P25,P27)-SUM(P29,P31,P33,P35)</f>
        <v>-343316.34981873195</v>
      </c>
    </row>
    <row r="38" spans="2:16" ht="17" thickBot="1" x14ac:dyDescent="0.25">
      <c r="B38" s="38" t="s">
        <v>32</v>
      </c>
      <c r="C38" s="25"/>
      <c r="D38" s="115">
        <f>D37-C37</f>
        <v>9347</v>
      </c>
      <c r="E38" s="115">
        <f t="shared" ref="E38:O38" si="20">E37-D37</f>
        <v>806</v>
      </c>
      <c r="F38" s="115">
        <f t="shared" si="20"/>
        <v>-4299</v>
      </c>
      <c r="G38" s="115">
        <f t="shared" si="20"/>
        <v>-4448</v>
      </c>
      <c r="H38" s="115">
        <f t="shared" si="20"/>
        <v>-6503.9445514863619</v>
      </c>
      <c r="I38" s="115">
        <f t="shared" si="20"/>
        <v>-24987.398965068322</v>
      </c>
      <c r="J38" s="115">
        <f>J37-I37</f>
        <v>27838.236941061128</v>
      </c>
      <c r="K38" s="115">
        <f t="shared" si="20"/>
        <v>-26480.607746577734</v>
      </c>
      <c r="L38" s="115">
        <f t="shared" si="20"/>
        <v>-112333.89425306825</v>
      </c>
      <c r="M38" s="115">
        <f t="shared" si="20"/>
        <v>-16986.704938935523</v>
      </c>
      <c r="N38" s="115">
        <f t="shared" si="20"/>
        <v>-111064.27050142258</v>
      </c>
      <c r="O38" s="115">
        <f t="shared" si="20"/>
        <v>-43289.129607786599</v>
      </c>
      <c r="P38" s="115">
        <f>P37-O37</f>
        <v>-23609.636195447703</v>
      </c>
    </row>
    <row r="40" spans="2:16" ht="16" thickBot="1" x14ac:dyDescent="0.25"/>
    <row r="41" spans="2:16" ht="16" thickBot="1" x14ac:dyDescent="0.25">
      <c r="B41" s="104" t="s">
        <v>81</v>
      </c>
      <c r="C41" s="105"/>
    </row>
    <row r="42" spans="2:16" x14ac:dyDescent="0.2">
      <c r="B42" s="35" t="s">
        <v>2</v>
      </c>
      <c r="C42" s="106">
        <v>178.51</v>
      </c>
    </row>
    <row r="43" spans="2:16" x14ac:dyDescent="0.2">
      <c r="B43" s="35" t="s">
        <v>3</v>
      </c>
      <c r="C43" s="107">
        <v>613.88</v>
      </c>
    </row>
    <row r="44" spans="2:16" x14ac:dyDescent="0.2">
      <c r="B44" s="35" t="s">
        <v>4</v>
      </c>
      <c r="C44" s="107">
        <f>C42*C43</f>
        <v>109583.71879999999</v>
      </c>
    </row>
    <row r="45" spans="2:16" x14ac:dyDescent="0.2">
      <c r="B45" s="35" t="s">
        <v>5</v>
      </c>
      <c r="C45" s="107">
        <v>52307</v>
      </c>
    </row>
    <row r="46" spans="2:16" x14ac:dyDescent="0.2">
      <c r="B46" s="35" t="s">
        <v>6</v>
      </c>
      <c r="C46" s="73">
        <f>C44/(C44+C45)</f>
        <v>0.67689932821522569</v>
      </c>
    </row>
    <row r="47" spans="2:16" x14ac:dyDescent="0.2">
      <c r="B47" s="35" t="s">
        <v>7</v>
      </c>
      <c r="C47" s="73">
        <f>1-C46</f>
        <v>0.32310067178477431</v>
      </c>
    </row>
    <row r="48" spans="2:16" x14ac:dyDescent="0.2">
      <c r="B48" s="35"/>
      <c r="C48" s="12"/>
    </row>
    <row r="49" spans="2:3" x14ac:dyDescent="0.2">
      <c r="B49" s="35" t="s">
        <v>8</v>
      </c>
      <c r="C49" s="108">
        <v>4.3099999999999999E-2</v>
      </c>
    </row>
    <row r="50" spans="2:3" x14ac:dyDescent="0.2">
      <c r="B50" s="35" t="s">
        <v>9</v>
      </c>
      <c r="C50" s="109">
        <v>1.65</v>
      </c>
    </row>
    <row r="51" spans="2:3" x14ac:dyDescent="0.2">
      <c r="B51" s="35" t="s">
        <v>10</v>
      </c>
      <c r="C51" s="108">
        <v>0.06</v>
      </c>
    </row>
    <row r="52" spans="2:3" x14ac:dyDescent="0.2">
      <c r="B52" s="35" t="s">
        <v>11</v>
      </c>
      <c r="C52" s="108">
        <f>C49+C50*C51</f>
        <v>0.1421</v>
      </c>
    </row>
    <row r="53" spans="2:3" x14ac:dyDescent="0.2">
      <c r="B53" s="35"/>
      <c r="C53" s="12"/>
    </row>
    <row r="54" spans="2:3" x14ac:dyDescent="0.2">
      <c r="B54" s="35" t="s">
        <v>12</v>
      </c>
      <c r="C54" s="108">
        <v>0.05</v>
      </c>
    </row>
    <row r="55" spans="2:3" x14ac:dyDescent="0.2">
      <c r="B55" s="35" t="s">
        <v>13</v>
      </c>
      <c r="C55" s="108">
        <v>0.2</v>
      </c>
    </row>
    <row r="56" spans="2:3" ht="15" customHeight="1" x14ac:dyDescent="0.2">
      <c r="B56" s="35"/>
      <c r="C56" s="12"/>
    </row>
    <row r="57" spans="2:3" ht="14" customHeight="1" x14ac:dyDescent="0.2">
      <c r="B57" s="110" t="s">
        <v>14</v>
      </c>
      <c r="C57" s="111">
        <f>C52*C46+C54*(1-C55)*C47</f>
        <v>0.10911142141077455</v>
      </c>
    </row>
    <row r="58" spans="2:3" ht="14" customHeight="1" thickBot="1" x14ac:dyDescent="0.25">
      <c r="B58" s="36"/>
      <c r="C58" s="13"/>
    </row>
    <row r="59" spans="2:3" ht="14" customHeight="1" x14ac:dyDescent="0.2"/>
    <row r="60" spans="2:3" ht="14" customHeight="1" thickBot="1" x14ac:dyDescent="0.25"/>
    <row r="61" spans="2:3" ht="14" customHeight="1" thickBot="1" x14ac:dyDescent="0.25">
      <c r="B61" s="104" t="s">
        <v>15</v>
      </c>
      <c r="C61" s="105"/>
    </row>
    <row r="62" spans="2:3" ht="14" customHeight="1" x14ac:dyDescent="0.2">
      <c r="B62" s="35" t="s">
        <v>16</v>
      </c>
      <c r="C62" s="108">
        <v>0.05</v>
      </c>
    </row>
    <row r="63" spans="2:3" ht="14" customHeight="1" x14ac:dyDescent="0.2">
      <c r="B63" s="35" t="s">
        <v>17</v>
      </c>
      <c r="C63" s="107">
        <v>22747</v>
      </c>
    </row>
    <row r="64" spans="2:3" ht="14" customHeight="1" x14ac:dyDescent="0.2">
      <c r="B64" s="35" t="s">
        <v>18</v>
      </c>
      <c r="C64" s="107">
        <f>C63/(1+C57)^13</f>
        <v>5918.9792691135553</v>
      </c>
    </row>
    <row r="65" spans="2:3" ht="14" customHeight="1" x14ac:dyDescent="0.2">
      <c r="B65" s="35" t="s">
        <v>27</v>
      </c>
      <c r="C65" s="107">
        <f>SUM(H17:P17)</f>
        <v>186534.90577569275</v>
      </c>
    </row>
    <row r="66" spans="2:3" ht="14" customHeight="1" x14ac:dyDescent="0.2">
      <c r="B66" s="35" t="s">
        <v>19</v>
      </c>
      <c r="C66" s="107">
        <f>SUM(C64:C65)</f>
        <v>192453.88504480632</v>
      </c>
    </row>
    <row r="67" spans="2:3" ht="14" customHeight="1" x14ac:dyDescent="0.2">
      <c r="B67" s="35"/>
      <c r="C67" s="12"/>
    </row>
    <row r="68" spans="2:3" ht="15" customHeight="1" x14ac:dyDescent="0.2">
      <c r="B68" s="35" t="s">
        <v>20</v>
      </c>
      <c r="C68" s="107">
        <f>C66-C$52</f>
        <v>192453.74294480632</v>
      </c>
    </row>
    <row r="69" spans="2:3" x14ac:dyDescent="0.2">
      <c r="B69" s="35" t="s">
        <v>3</v>
      </c>
      <c r="C69" s="107">
        <v>614</v>
      </c>
    </row>
    <row r="70" spans="2:3" x14ac:dyDescent="0.2">
      <c r="B70" s="35"/>
      <c r="C70" s="12"/>
    </row>
    <row r="71" spans="2:3" x14ac:dyDescent="0.2">
      <c r="B71" s="110" t="s">
        <v>21</v>
      </c>
      <c r="C71" s="112">
        <f>C68/C69</f>
        <v>313.44257808600378</v>
      </c>
    </row>
    <row r="72" spans="2:3" x14ac:dyDescent="0.2">
      <c r="B72" s="35" t="s">
        <v>22</v>
      </c>
      <c r="C72" s="113">
        <f>(C71-C42)/C42</f>
        <v>0.75588246084815303</v>
      </c>
    </row>
    <row r="73" spans="2:3" ht="16" thickBot="1" x14ac:dyDescent="0.25">
      <c r="B73" s="36"/>
      <c r="C73" s="13"/>
    </row>
    <row r="75" spans="2:3" ht="16" thickBot="1" x14ac:dyDescent="0.25"/>
    <row r="76" spans="2:3" ht="16" thickBot="1" x14ac:dyDescent="0.25">
      <c r="B76" s="104" t="s">
        <v>23</v>
      </c>
      <c r="C76" s="105"/>
    </row>
    <row r="77" spans="2:3" x14ac:dyDescent="0.2">
      <c r="B77" s="35" t="s">
        <v>83</v>
      </c>
      <c r="C77" s="114">
        <v>2</v>
      </c>
    </row>
    <row r="78" spans="2:3" x14ac:dyDescent="0.2">
      <c r="B78" s="35" t="s">
        <v>17</v>
      </c>
      <c r="C78" s="107">
        <f>P8*C77</f>
        <v>41320.669797529299</v>
      </c>
    </row>
    <row r="79" spans="2:3" x14ac:dyDescent="0.2">
      <c r="B79" s="35" t="s">
        <v>18</v>
      </c>
      <c r="C79" s="107">
        <f>P8*C77/((1+C57)^9)</f>
        <v>16270.119935349832</v>
      </c>
    </row>
    <row r="80" spans="2:3" x14ac:dyDescent="0.2">
      <c r="B80" s="35" t="s">
        <v>27</v>
      </c>
      <c r="C80" s="107">
        <v>186535</v>
      </c>
    </row>
    <row r="81" spans="2:3" x14ac:dyDescent="0.2">
      <c r="B81" s="35" t="s">
        <v>19</v>
      </c>
      <c r="C81" s="107">
        <f>SUM(C79:C80)</f>
        <v>202805.11993534982</v>
      </c>
    </row>
    <row r="82" spans="2:3" x14ac:dyDescent="0.2">
      <c r="B82" s="35"/>
      <c r="C82" s="12"/>
    </row>
    <row r="83" spans="2:3" x14ac:dyDescent="0.2">
      <c r="B83" s="35" t="s">
        <v>20</v>
      </c>
      <c r="C83" s="107">
        <f>C81-C$52</f>
        <v>202804.97783534983</v>
      </c>
    </row>
    <row r="84" spans="2:3" x14ac:dyDescent="0.2">
      <c r="B84" s="35" t="s">
        <v>3</v>
      </c>
      <c r="C84" s="107">
        <v>614</v>
      </c>
    </row>
    <row r="85" spans="2:3" x14ac:dyDescent="0.2">
      <c r="B85" s="35"/>
      <c r="C85" s="12"/>
    </row>
    <row r="86" spans="2:3" x14ac:dyDescent="0.2">
      <c r="B86" s="110" t="s">
        <v>21</v>
      </c>
      <c r="C86" s="112">
        <f>C83/C84</f>
        <v>330.3012668328173</v>
      </c>
    </row>
    <row r="87" spans="2:3" x14ac:dyDescent="0.2">
      <c r="B87" s="35" t="s">
        <v>22</v>
      </c>
      <c r="C87" s="113">
        <f>(C86-C42)/C42</f>
        <v>0.85032360558409792</v>
      </c>
    </row>
    <row r="88" spans="2:3" ht="16" thickBot="1" x14ac:dyDescent="0.25">
      <c r="B88" s="36"/>
      <c r="C88" s="13"/>
    </row>
  </sheetData>
  <mergeCells count="9">
    <mergeCell ref="B41:C41"/>
    <mergeCell ref="B61:C61"/>
    <mergeCell ref="B76:C76"/>
    <mergeCell ref="B2:B4"/>
    <mergeCell ref="C2:G4"/>
    <mergeCell ref="H2:P4"/>
    <mergeCell ref="B19:B21"/>
    <mergeCell ref="C19:G21"/>
    <mergeCell ref="H19:P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8D11-C3DF-F049-94D3-8943F6601E13}">
  <sheetPr>
    <tabColor rgb="FFFF0000"/>
  </sheetPr>
  <dimension ref="B1:T56"/>
  <sheetViews>
    <sheetView topLeftCell="A4" zoomScale="125" workbookViewId="0">
      <pane xSplit="7" topLeftCell="H1" activePane="topRight" state="frozen"/>
      <selection pane="topRight" activeCell="C44" sqref="C44:M44"/>
    </sheetView>
  </sheetViews>
  <sheetFormatPr baseColWidth="10" defaultRowHeight="15" x14ac:dyDescent="0.2"/>
  <cols>
    <col min="1" max="1" width="10.83203125" style="1"/>
    <col min="2" max="2" width="48.33203125" style="1" customWidth="1"/>
    <col min="3" max="3" width="13.83203125" style="1" customWidth="1"/>
    <col min="4" max="4" width="12.83203125" style="1" customWidth="1"/>
    <col min="5" max="7" width="12.1640625" style="1" bestFit="1" customWidth="1"/>
    <col min="8" max="9" width="11" style="1" bestFit="1" customWidth="1"/>
    <col min="10" max="10" width="13.33203125" style="1" customWidth="1"/>
    <col min="11" max="11" width="14.1640625" style="1" customWidth="1"/>
    <col min="12" max="12" width="15" style="1" customWidth="1"/>
    <col min="13" max="13" width="14.5" style="1" customWidth="1"/>
    <col min="14" max="16384" width="10.83203125" style="1"/>
  </cols>
  <sheetData>
    <row r="1" spans="2:20" ht="16" thickBot="1" x14ac:dyDescent="0.25"/>
    <row r="2" spans="2:20" ht="15" customHeight="1" x14ac:dyDescent="0.2">
      <c r="B2" s="26" t="s">
        <v>29</v>
      </c>
      <c r="C2" s="16" t="s">
        <v>0</v>
      </c>
      <c r="D2" s="16"/>
      <c r="E2" s="16"/>
      <c r="F2" s="16"/>
      <c r="G2" s="16"/>
      <c r="H2" s="17" t="s">
        <v>1</v>
      </c>
      <c r="I2" s="17"/>
      <c r="J2" s="17"/>
      <c r="K2" s="17"/>
      <c r="L2" s="17"/>
      <c r="M2" s="18"/>
      <c r="N2" s="9"/>
      <c r="O2" s="9"/>
      <c r="P2" s="9"/>
      <c r="Q2" s="9"/>
      <c r="R2" s="9"/>
      <c r="S2" s="9"/>
      <c r="T2" s="9"/>
    </row>
    <row r="3" spans="2:20" ht="16" customHeight="1" x14ac:dyDescent="0.2">
      <c r="B3" s="27"/>
      <c r="C3" s="14"/>
      <c r="D3" s="14"/>
      <c r="E3" s="14"/>
      <c r="F3" s="14"/>
      <c r="G3" s="14"/>
      <c r="H3" s="15"/>
      <c r="I3" s="15"/>
      <c r="J3" s="15"/>
      <c r="K3" s="15"/>
      <c r="L3" s="15"/>
      <c r="M3" s="19"/>
      <c r="N3" s="9"/>
      <c r="O3" s="9"/>
      <c r="P3" s="9"/>
      <c r="Q3" s="9"/>
      <c r="R3" s="9"/>
      <c r="S3" s="9"/>
      <c r="T3" s="9"/>
    </row>
    <row r="4" spans="2:20" ht="16" customHeight="1" x14ac:dyDescent="0.2">
      <c r="B4" s="27"/>
      <c r="C4" s="14"/>
      <c r="D4" s="14"/>
      <c r="E4" s="14"/>
      <c r="F4" s="14"/>
      <c r="G4" s="14"/>
      <c r="H4" s="15"/>
      <c r="I4" s="15"/>
      <c r="J4" s="15"/>
      <c r="K4" s="15"/>
      <c r="L4" s="15"/>
      <c r="M4" s="19"/>
      <c r="N4" s="9"/>
      <c r="O4" s="9"/>
      <c r="P4" s="9"/>
      <c r="Q4" s="9"/>
      <c r="R4" s="9"/>
      <c r="S4" s="9"/>
      <c r="T4" s="9"/>
    </row>
    <row r="5" spans="2:20" ht="16" x14ac:dyDescent="0.2">
      <c r="B5" s="20" t="s">
        <v>72</v>
      </c>
      <c r="C5" s="21">
        <v>2019</v>
      </c>
      <c r="D5" s="21">
        <v>2020</v>
      </c>
      <c r="E5" s="21">
        <v>2021</v>
      </c>
      <c r="F5" s="21">
        <f t="shared" ref="F5:M5" si="0">E5+1</f>
        <v>2022</v>
      </c>
      <c r="G5" s="21">
        <f t="shared" si="0"/>
        <v>2023</v>
      </c>
      <c r="H5" s="21">
        <f>G5+1</f>
        <v>2024</v>
      </c>
      <c r="I5" s="21">
        <f t="shared" si="0"/>
        <v>2025</v>
      </c>
      <c r="J5" s="21">
        <f t="shared" si="0"/>
        <v>2026</v>
      </c>
      <c r="K5" s="21">
        <f t="shared" si="0"/>
        <v>2027</v>
      </c>
      <c r="L5" s="21">
        <f t="shared" si="0"/>
        <v>2028</v>
      </c>
      <c r="M5" s="22">
        <f t="shared" si="0"/>
        <v>2029</v>
      </c>
      <c r="N5" s="2"/>
      <c r="O5" s="2"/>
      <c r="P5" s="2"/>
      <c r="Q5" s="2"/>
      <c r="R5" s="2"/>
      <c r="S5" s="2"/>
      <c r="T5" s="2"/>
    </row>
    <row r="6" spans="2:20" x14ac:dyDescent="0.2">
      <c r="B6" s="35" t="s">
        <v>47</v>
      </c>
      <c r="C6" s="3">
        <v>69</v>
      </c>
      <c r="D6" s="3">
        <v>130</v>
      </c>
      <c r="E6" s="3">
        <v>765</v>
      </c>
      <c r="F6" s="48">
        <v>697</v>
      </c>
      <c r="G6" s="3">
        <v>987</v>
      </c>
      <c r="H6" s="48">
        <v>1500</v>
      </c>
      <c r="I6" s="48">
        <v>2100</v>
      </c>
      <c r="J6" s="48">
        <f>I6*I7+I6</f>
        <v>2940</v>
      </c>
      <c r="K6" s="48">
        <f t="shared" ref="K6" si="1">J6*J7+J6</f>
        <v>4116</v>
      </c>
      <c r="L6" s="48">
        <f>K6*0.2+K6</f>
        <v>4939.2</v>
      </c>
      <c r="M6" s="77">
        <f>L6*L7+L6</f>
        <v>5927.0399999999991</v>
      </c>
      <c r="N6" s="4"/>
      <c r="O6" s="4"/>
      <c r="P6" s="5"/>
      <c r="Q6" s="5"/>
      <c r="R6" s="5"/>
      <c r="S6" s="5"/>
      <c r="T6" s="5"/>
    </row>
    <row r="7" spans="2:20" x14ac:dyDescent="0.2">
      <c r="B7" s="41" t="s">
        <v>76</v>
      </c>
      <c r="C7" s="3"/>
      <c r="D7" s="49">
        <f>(D6-C6)/C6</f>
        <v>0.88405797101449279</v>
      </c>
      <c r="E7" s="49">
        <f t="shared" ref="E7:M7" si="2">(E6-D6)/D6</f>
        <v>4.884615384615385</v>
      </c>
      <c r="F7" s="49">
        <f t="shared" si="2"/>
        <v>-8.8888888888888892E-2</v>
      </c>
      <c r="G7" s="49">
        <f t="shared" si="2"/>
        <v>0.41606886657101866</v>
      </c>
      <c r="H7" s="49">
        <f t="shared" si="2"/>
        <v>0.51975683890577506</v>
      </c>
      <c r="I7" s="49">
        <f t="shared" si="2"/>
        <v>0.4</v>
      </c>
      <c r="J7" s="49">
        <f t="shared" si="2"/>
        <v>0.4</v>
      </c>
      <c r="K7" s="49">
        <f t="shared" si="2"/>
        <v>0.4</v>
      </c>
      <c r="L7" s="49">
        <f t="shared" si="2"/>
        <v>0.19999999999999996</v>
      </c>
      <c r="M7" s="69">
        <f t="shared" si="2"/>
        <v>0.19999999999999984</v>
      </c>
      <c r="N7" s="4"/>
      <c r="O7" s="4"/>
      <c r="P7" s="5"/>
      <c r="Q7" s="5"/>
      <c r="R7" s="5"/>
      <c r="S7" s="5"/>
      <c r="T7" s="5"/>
    </row>
    <row r="8" spans="2:20" s="30" customFormat="1" x14ac:dyDescent="0.2">
      <c r="B8" s="35" t="s">
        <v>48</v>
      </c>
      <c r="C8" s="47">
        <v>0</v>
      </c>
      <c r="D8" s="3">
        <v>1</v>
      </c>
      <c r="E8" s="3">
        <v>5</v>
      </c>
      <c r="F8" s="48">
        <v>0</v>
      </c>
      <c r="G8" s="47">
        <v>0</v>
      </c>
      <c r="H8" s="74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12" t="s">
        <v>28</v>
      </c>
    </row>
    <row r="9" spans="2:20" x14ac:dyDescent="0.2">
      <c r="B9" s="46" t="s">
        <v>50</v>
      </c>
      <c r="C9" s="3">
        <v>26</v>
      </c>
      <c r="D9" s="3">
        <v>11</v>
      </c>
      <c r="E9" s="3">
        <v>65</v>
      </c>
      <c r="F9" s="48">
        <v>31</v>
      </c>
      <c r="G9" s="3">
        <v>30</v>
      </c>
      <c r="H9" s="75">
        <f>AVERAGE(C9:G9)</f>
        <v>32.6</v>
      </c>
      <c r="I9" s="3">
        <v>43</v>
      </c>
      <c r="J9" s="3">
        <v>54</v>
      </c>
      <c r="K9" s="3">
        <v>65</v>
      </c>
      <c r="L9" s="75">
        <f>K9*L10+K9</f>
        <v>74.75</v>
      </c>
      <c r="M9" s="86">
        <f>L9*M10+L9</f>
        <v>85.962500000000006</v>
      </c>
      <c r="N9" s="4"/>
      <c r="O9" s="4"/>
      <c r="P9" s="4"/>
      <c r="Q9" s="4"/>
      <c r="R9" s="4"/>
      <c r="S9" s="4"/>
      <c r="T9" s="4"/>
    </row>
    <row r="10" spans="2:20" x14ac:dyDescent="0.2">
      <c r="B10" s="41" t="s">
        <v>76</v>
      </c>
      <c r="C10" s="3"/>
      <c r="D10" s="49">
        <f>(D9-C9)/C9</f>
        <v>-0.57692307692307687</v>
      </c>
      <c r="E10" s="49">
        <f t="shared" ref="E10:K10" si="3">(E9-D9)/D9</f>
        <v>4.9090909090909092</v>
      </c>
      <c r="F10" s="49">
        <f t="shared" si="3"/>
        <v>-0.52307692307692311</v>
      </c>
      <c r="G10" s="49">
        <f t="shared" si="3"/>
        <v>-3.2258064516129031E-2</v>
      </c>
      <c r="H10" s="49">
        <f t="shared" si="3"/>
        <v>8.6666666666666711E-2</v>
      </c>
      <c r="I10" s="49">
        <f t="shared" si="3"/>
        <v>0.31901840490797539</v>
      </c>
      <c r="J10" s="49">
        <f t="shared" si="3"/>
        <v>0.2558139534883721</v>
      </c>
      <c r="K10" s="49">
        <f t="shared" si="3"/>
        <v>0.20370370370370369</v>
      </c>
      <c r="L10" s="49">
        <v>0.15</v>
      </c>
      <c r="M10" s="69">
        <v>0.15</v>
      </c>
      <c r="N10" s="4"/>
      <c r="O10" s="4"/>
      <c r="P10" s="4"/>
      <c r="Q10" s="4"/>
      <c r="R10" s="4"/>
      <c r="S10" s="4"/>
      <c r="T10" s="4"/>
    </row>
    <row r="11" spans="2:20" s="30" customFormat="1" x14ac:dyDescent="0.2">
      <c r="B11" s="35" t="s">
        <v>51</v>
      </c>
      <c r="C11" s="3">
        <v>38</v>
      </c>
      <c r="D11" s="3">
        <v>13</v>
      </c>
      <c r="E11" s="3">
        <v>53</v>
      </c>
      <c r="F11" s="48">
        <v>68</v>
      </c>
      <c r="G11" s="3">
        <v>126</v>
      </c>
      <c r="H11" s="75">
        <f>AVERAGE(C11:G11)</f>
        <v>59.6</v>
      </c>
      <c r="I11" s="3">
        <v>72</v>
      </c>
      <c r="J11" s="3">
        <v>84</v>
      </c>
      <c r="K11" s="75">
        <f>H11*G16 +H11</f>
        <v>92.921793323923907</v>
      </c>
      <c r="L11" s="75">
        <f>K11*L12+K11</f>
        <v>100.35553678983781</v>
      </c>
      <c r="M11" s="86">
        <f>L11*M12+L11</f>
        <v>108.38397973302484</v>
      </c>
      <c r="P11" s="31"/>
      <c r="Q11" s="31"/>
      <c r="R11" s="31"/>
      <c r="S11" s="31"/>
      <c r="T11" s="31"/>
    </row>
    <row r="12" spans="2:20" s="30" customFormat="1" x14ac:dyDescent="0.2">
      <c r="B12" s="41" t="s">
        <v>76</v>
      </c>
      <c r="C12" s="49"/>
      <c r="D12" s="49">
        <f>(D11-C11)/C11</f>
        <v>-0.65789473684210531</v>
      </c>
      <c r="E12" s="49">
        <f t="shared" ref="E12:K12" si="4">(E11-D11)/D11</f>
        <v>3.0769230769230771</v>
      </c>
      <c r="F12" s="49">
        <f t="shared" si="4"/>
        <v>0.28301886792452829</v>
      </c>
      <c r="G12" s="49">
        <f t="shared" si="4"/>
        <v>0.8529411764705882</v>
      </c>
      <c r="H12" s="49">
        <f t="shared" si="4"/>
        <v>-0.526984126984127</v>
      </c>
      <c r="I12" s="49">
        <f t="shared" si="4"/>
        <v>0.20805369127516776</v>
      </c>
      <c r="J12" s="49">
        <f t="shared" si="4"/>
        <v>0.16666666666666666</v>
      </c>
      <c r="K12" s="49">
        <f t="shared" si="4"/>
        <v>0.10621182528480842</v>
      </c>
      <c r="L12" s="49">
        <v>0.08</v>
      </c>
      <c r="M12" s="69">
        <v>0.08</v>
      </c>
      <c r="P12" s="31"/>
      <c r="Q12" s="31"/>
      <c r="R12" s="31"/>
      <c r="S12" s="31"/>
      <c r="T12" s="31"/>
    </row>
    <row r="13" spans="2:20" s="30" customFormat="1" x14ac:dyDescent="0.2">
      <c r="B13" s="35" t="s">
        <v>52</v>
      </c>
      <c r="C13" s="3">
        <v>113</v>
      </c>
      <c r="D13" s="3">
        <v>29</v>
      </c>
      <c r="E13" s="3">
        <v>21</v>
      </c>
      <c r="F13" s="48">
        <v>139</v>
      </c>
      <c r="G13" s="3">
        <v>313</v>
      </c>
      <c r="H13" s="3">
        <v>360</v>
      </c>
      <c r="I13" s="3">
        <v>410</v>
      </c>
      <c r="J13" s="3">
        <v>460</v>
      </c>
      <c r="K13" s="75">
        <f>G16*313+G13</f>
        <v>487.99532399980177</v>
      </c>
      <c r="L13" s="75">
        <f>K13*L14+K13</f>
        <v>517.2750434397899</v>
      </c>
      <c r="M13" s="86">
        <f>L13*M14+L13</f>
        <v>548.31154604617734</v>
      </c>
      <c r="P13" s="31"/>
      <c r="Q13" s="31"/>
      <c r="R13" s="31"/>
      <c r="S13" s="31"/>
      <c r="T13" s="31"/>
    </row>
    <row r="14" spans="2:20" s="30" customFormat="1" x14ac:dyDescent="0.2">
      <c r="B14" s="41" t="s">
        <v>76</v>
      </c>
      <c r="C14" s="3"/>
      <c r="D14" s="49">
        <f>(D13-C13)/C13</f>
        <v>-0.74336283185840712</v>
      </c>
      <c r="E14" s="49">
        <f t="shared" ref="E14:K14" si="5">(E13-D13)/D13</f>
        <v>-0.27586206896551724</v>
      </c>
      <c r="F14" s="49">
        <f t="shared" si="5"/>
        <v>5.6190476190476186</v>
      </c>
      <c r="G14" s="49">
        <f t="shared" si="5"/>
        <v>1.2517985611510791</v>
      </c>
      <c r="H14" s="49">
        <f t="shared" si="5"/>
        <v>0.15015974440894569</v>
      </c>
      <c r="I14" s="49">
        <f t="shared" si="5"/>
        <v>0.1388888888888889</v>
      </c>
      <c r="J14" s="49">
        <f t="shared" si="5"/>
        <v>0.12195121951219512</v>
      </c>
      <c r="K14" s="49">
        <f t="shared" si="5"/>
        <v>6.0859399999569061E-2</v>
      </c>
      <c r="L14" s="49">
        <v>0.06</v>
      </c>
      <c r="M14" s="69">
        <v>0.06</v>
      </c>
      <c r="P14" s="31"/>
      <c r="Q14" s="31"/>
      <c r="R14" s="31"/>
      <c r="S14" s="31"/>
      <c r="T14" s="31"/>
    </row>
    <row r="15" spans="2:20" s="30" customFormat="1" x14ac:dyDescent="0.2">
      <c r="B15" s="35" t="s">
        <v>62</v>
      </c>
      <c r="C15" s="48">
        <f>SUM(C6:C13)</f>
        <v>246</v>
      </c>
      <c r="D15" s="48">
        <f>SUM(D6:D13)</f>
        <v>183.64924015724932</v>
      </c>
      <c r="E15" s="48">
        <f>SUM(E6:E13)</f>
        <v>921.87062937062933</v>
      </c>
      <c r="F15" s="48">
        <f>SUM(F6:F13)</f>
        <v>934.67105305595874</v>
      </c>
      <c r="G15" s="48">
        <f>SUM(G6:G13)</f>
        <v>1457.2367519785255</v>
      </c>
      <c r="H15" s="48">
        <f t="shared" ref="H15:M15" si="6">SUM(H6:H13)</f>
        <v>1952.279439378588</v>
      </c>
      <c r="I15" s="48">
        <f t="shared" si="6"/>
        <v>2625.9270720961836</v>
      </c>
      <c r="J15" s="48">
        <f>SUM(J6:J13)</f>
        <v>3538.8224806201551</v>
      </c>
      <c r="K15" s="48">
        <f t="shared" si="6"/>
        <v>4762.6270328527144</v>
      </c>
      <c r="L15" s="48">
        <f t="shared" si="6"/>
        <v>5632.0105802296275</v>
      </c>
      <c r="M15" s="77">
        <f t="shared" si="6"/>
        <v>6670.1280257792005</v>
      </c>
      <c r="P15" s="31"/>
      <c r="Q15" s="31"/>
      <c r="R15" s="31"/>
      <c r="S15" s="31"/>
      <c r="T15" s="31"/>
    </row>
    <row r="16" spans="2:20" s="30" customFormat="1" x14ac:dyDescent="0.2">
      <c r="B16" s="41" t="s">
        <v>49</v>
      </c>
      <c r="C16" s="47">
        <v>0</v>
      </c>
      <c r="D16" s="49">
        <f>(D15-C15)/C15</f>
        <v>-0.25345837334451493</v>
      </c>
      <c r="E16" s="49">
        <f>(E15-D15)/D15</f>
        <v>4.0197356034867298</v>
      </c>
      <c r="F16" s="49">
        <f t="shared" ref="F16:G16" si="7">(F15-E15)/E15</f>
        <v>1.3885271183949518E-2</v>
      </c>
      <c r="G16" s="49">
        <f t="shared" si="7"/>
        <v>0.55909049201214622</v>
      </c>
      <c r="H16" s="67">
        <f>AVERAGE(D16:G16)</f>
        <v>1.0848132483345776</v>
      </c>
      <c r="I16" s="67">
        <f t="shared" ref="I16:M16" si="8">AVERAGE(E16:H16)</f>
        <v>1.4193811537543506</v>
      </c>
      <c r="J16" s="67">
        <f t="shared" si="8"/>
        <v>0.76929254132125602</v>
      </c>
      <c r="K16" s="67">
        <f t="shared" si="8"/>
        <v>0.95814435885558258</v>
      </c>
      <c r="L16" s="67">
        <f t="shared" si="8"/>
        <v>1.0579078255664418</v>
      </c>
      <c r="M16" s="73">
        <f t="shared" si="8"/>
        <v>1.0511814698744077</v>
      </c>
      <c r="P16" s="31"/>
      <c r="Q16" s="31"/>
      <c r="R16" s="31"/>
      <c r="S16" s="31"/>
      <c r="T16" s="31"/>
    </row>
    <row r="17" spans="2:20" x14ac:dyDescent="0.2">
      <c r="B17" s="35" t="s">
        <v>53</v>
      </c>
      <c r="C17" s="48">
        <v>4591</v>
      </c>
      <c r="D17" s="48">
        <v>4395</v>
      </c>
      <c r="E17" s="48">
        <v>3365</v>
      </c>
      <c r="F17" s="48">
        <v>3585</v>
      </c>
      <c r="G17" s="48">
        <v>4357</v>
      </c>
      <c r="H17" s="45"/>
      <c r="I17" s="45"/>
      <c r="J17" s="45"/>
      <c r="K17" s="45"/>
      <c r="L17" s="45"/>
      <c r="M17" s="78"/>
      <c r="N17" s="4"/>
      <c r="O17" s="4"/>
      <c r="P17" s="6"/>
      <c r="Q17" s="6"/>
      <c r="R17" s="6"/>
      <c r="S17" s="6"/>
      <c r="T17" s="6"/>
    </row>
    <row r="18" spans="2:20" s="30" customFormat="1" x14ac:dyDescent="0.2">
      <c r="B18" s="35" t="s">
        <v>54</v>
      </c>
      <c r="C18" s="48">
        <v>17</v>
      </c>
      <c r="D18" s="48">
        <v>17</v>
      </c>
      <c r="E18" s="48">
        <v>5</v>
      </c>
      <c r="F18" s="48">
        <v>0</v>
      </c>
      <c r="G18" s="48">
        <v>0</v>
      </c>
      <c r="H18" s="45"/>
      <c r="I18" s="45"/>
      <c r="J18" s="45"/>
      <c r="K18" s="45"/>
      <c r="L18" s="45"/>
      <c r="M18" s="78"/>
      <c r="P18" s="31"/>
      <c r="Q18" s="31"/>
      <c r="R18" s="31"/>
      <c r="S18" s="31"/>
      <c r="T18" s="31"/>
    </row>
    <row r="19" spans="2:20" x14ac:dyDescent="0.2">
      <c r="B19" s="46" t="s">
        <v>55</v>
      </c>
      <c r="C19" s="48">
        <v>97</v>
      </c>
      <c r="D19" s="48">
        <v>92</v>
      </c>
      <c r="E19" s="48">
        <v>103</v>
      </c>
      <c r="F19" s="48">
        <v>120</v>
      </c>
      <c r="G19" s="48">
        <v>101</v>
      </c>
      <c r="H19" s="45"/>
      <c r="I19" s="45"/>
      <c r="J19" s="45"/>
      <c r="K19" s="45"/>
      <c r="L19" s="45"/>
      <c r="M19" s="78"/>
      <c r="N19" s="4"/>
      <c r="O19" s="4"/>
      <c r="P19" s="6"/>
      <c r="Q19" s="6"/>
      <c r="R19" s="6"/>
      <c r="S19" s="6"/>
      <c r="T19" s="6"/>
    </row>
    <row r="20" spans="2:20" s="30" customFormat="1" x14ac:dyDescent="0.2">
      <c r="B20" s="35" t="s">
        <v>56</v>
      </c>
      <c r="C20" s="48">
        <v>388</v>
      </c>
      <c r="D20" s="48">
        <v>381</v>
      </c>
      <c r="E20" s="48">
        <v>298</v>
      </c>
      <c r="F20" s="48">
        <v>328</v>
      </c>
      <c r="G20" s="48">
        <v>491</v>
      </c>
      <c r="H20" s="45"/>
      <c r="I20" s="45"/>
      <c r="J20" s="45"/>
      <c r="K20" s="45"/>
      <c r="L20" s="45"/>
      <c r="M20" s="78"/>
      <c r="P20" s="31"/>
      <c r="Q20" s="31"/>
      <c r="R20" s="31"/>
      <c r="S20" s="31"/>
      <c r="T20" s="31"/>
    </row>
    <row r="21" spans="2:20" x14ac:dyDescent="0.2">
      <c r="B21" s="35" t="s">
        <v>57</v>
      </c>
      <c r="C21" s="48">
        <v>569</v>
      </c>
      <c r="D21" s="48">
        <v>540</v>
      </c>
      <c r="E21" s="48">
        <v>405</v>
      </c>
      <c r="F21" s="48">
        <v>522</v>
      </c>
      <c r="G21" s="48">
        <v>719</v>
      </c>
      <c r="H21" s="45"/>
      <c r="I21" s="45"/>
      <c r="J21" s="45"/>
      <c r="K21" s="45"/>
      <c r="L21" s="45"/>
      <c r="M21" s="78"/>
      <c r="N21" s="4"/>
      <c r="O21" s="4"/>
      <c r="P21" s="6"/>
      <c r="Q21" s="6"/>
      <c r="R21" s="6"/>
      <c r="S21" s="6"/>
      <c r="T21" s="6"/>
    </row>
    <row r="22" spans="2:20" s="30" customFormat="1" x14ac:dyDescent="0.2">
      <c r="B22" s="35" t="s">
        <v>58</v>
      </c>
      <c r="C22" s="48">
        <f>SUM(C16:C21) - 218</f>
        <v>5444</v>
      </c>
      <c r="D22" s="48">
        <f>SUM(D16:D21) - 218</f>
        <v>5206.7465416266559</v>
      </c>
      <c r="E22" s="48">
        <f t="shared" ref="E22:G22" si="9">SUM(E17:E21)</f>
        <v>4176</v>
      </c>
      <c r="F22" s="48">
        <f t="shared" si="9"/>
        <v>4555</v>
      </c>
      <c r="G22" s="48">
        <f t="shared" si="9"/>
        <v>5668</v>
      </c>
      <c r="H22" s="50">
        <f>G22*H24+G22</f>
        <v>6801.6</v>
      </c>
      <c r="I22" s="50">
        <f t="shared" ref="I22:M22" si="10">H22*I24+H22</f>
        <v>8842.08</v>
      </c>
      <c r="J22" s="50">
        <f t="shared" si="10"/>
        <v>11494.704</v>
      </c>
      <c r="K22" s="50">
        <f t="shared" si="10"/>
        <v>14943.1152</v>
      </c>
      <c r="L22" s="50">
        <f t="shared" si="10"/>
        <v>19426.049760000002</v>
      </c>
      <c r="M22" s="76">
        <f t="shared" si="10"/>
        <v>24865.343692800001</v>
      </c>
    </row>
    <row r="23" spans="2:20" s="30" customFormat="1" x14ac:dyDescent="0.2">
      <c r="B23" s="35" t="s">
        <v>64</v>
      </c>
      <c r="C23" s="56"/>
      <c r="D23" s="55">
        <f>(C22-D22)</f>
        <v>237.25345837334407</v>
      </c>
      <c r="E23" s="55">
        <f t="shared" ref="E23" si="11">(D22-E22)</f>
        <v>1030.7465416266559</v>
      </c>
      <c r="F23" s="55">
        <f>(E22-F22)</f>
        <v>-379</v>
      </c>
      <c r="G23" s="55">
        <f>(F22-G22)</f>
        <v>-1113</v>
      </c>
      <c r="H23" s="50">
        <f>G22-H22</f>
        <v>-1133.6000000000004</v>
      </c>
      <c r="I23" s="50">
        <f t="shared" ref="I23:M23" si="12">H22-I22</f>
        <v>-2040.4799999999996</v>
      </c>
      <c r="J23" s="50">
        <f t="shared" si="12"/>
        <v>-2652.6239999999998</v>
      </c>
      <c r="K23" s="50">
        <f t="shared" si="12"/>
        <v>-3448.4112000000005</v>
      </c>
      <c r="L23" s="50">
        <f t="shared" si="12"/>
        <v>-4482.9345600000015</v>
      </c>
      <c r="M23" s="76">
        <f t="shared" si="12"/>
        <v>-5439.2939327999993</v>
      </c>
    </row>
    <row r="24" spans="2:20" s="30" customFormat="1" x14ac:dyDescent="0.2">
      <c r="B24" s="41" t="s">
        <v>61</v>
      </c>
      <c r="C24" s="53"/>
      <c r="D24" s="49">
        <f>(D22-C22)/D22</f>
        <v>-4.5566546494353266E-2</v>
      </c>
      <c r="E24" s="49">
        <f t="shared" ref="E24:F24" si="13">(E22-D22)/E22</f>
        <v>-0.24682627912515706</v>
      </c>
      <c r="F24" s="49">
        <f t="shared" si="13"/>
        <v>8.3205268935235999E-2</v>
      </c>
      <c r="G24" s="49">
        <f>(G22-F22)/G22</f>
        <v>0.19636556104446012</v>
      </c>
      <c r="H24" s="79">
        <v>0.2</v>
      </c>
      <c r="I24" s="49">
        <v>0.3</v>
      </c>
      <c r="J24" s="49">
        <v>0.3</v>
      </c>
      <c r="K24" s="49">
        <v>0.3</v>
      </c>
      <c r="L24" s="49">
        <v>0.3</v>
      </c>
      <c r="M24" s="69">
        <v>0.28000000000000003</v>
      </c>
    </row>
    <row r="25" spans="2:20" s="30" customFormat="1" x14ac:dyDescent="0.2">
      <c r="B25" s="51" t="s">
        <v>84</v>
      </c>
      <c r="C25" s="59"/>
      <c r="D25" s="57">
        <f>-D23/D15</f>
        <v>-1.2918836918148762</v>
      </c>
      <c r="E25" s="57">
        <f>-E23/E15</f>
        <v>-1.1181032444111569</v>
      </c>
      <c r="F25" s="57">
        <f>(-F23)/F15</f>
        <v>0.40549025110046849</v>
      </c>
      <c r="G25" s="57">
        <f>(-G23)/G15</f>
        <v>0.76377431360336823</v>
      </c>
      <c r="H25" s="57">
        <v>0.8</v>
      </c>
      <c r="I25" s="57">
        <v>0.4</v>
      </c>
      <c r="J25" s="57">
        <v>0.3</v>
      </c>
      <c r="K25" s="57">
        <v>0.3</v>
      </c>
      <c r="L25" s="57">
        <v>0.25</v>
      </c>
      <c r="M25" s="71">
        <v>0.25</v>
      </c>
    </row>
    <row r="26" spans="2:20" s="30" customFormat="1" x14ac:dyDescent="0.2">
      <c r="B26" s="51" t="s">
        <v>67</v>
      </c>
      <c r="C26" s="53"/>
      <c r="D26" s="58">
        <f>D23+D15</f>
        <v>420.9026985305934</v>
      </c>
      <c r="E26" s="58">
        <f>E15+E23</f>
        <v>1952.6171709972853</v>
      </c>
      <c r="F26" s="58">
        <f>F15+F23</f>
        <v>555.67105305595874</v>
      </c>
      <c r="G26" s="58">
        <f>G15+G23</f>
        <v>344.23675197852549</v>
      </c>
      <c r="H26" s="80">
        <f>H15+H23</f>
        <v>818.67943937858763</v>
      </c>
      <c r="I26" s="58">
        <f t="shared" ref="I26:M26" si="14">I15+I23</f>
        <v>585.447072096184</v>
      </c>
      <c r="J26" s="58">
        <f>J15+J23</f>
        <v>886.19848062015535</v>
      </c>
      <c r="K26" s="58">
        <f t="shared" si="14"/>
        <v>1314.2158328527139</v>
      </c>
      <c r="L26" s="58">
        <f t="shared" si="14"/>
        <v>1149.076020229626</v>
      </c>
      <c r="M26" s="87">
        <f t="shared" si="14"/>
        <v>1230.8340929792012</v>
      </c>
    </row>
    <row r="27" spans="2:20" s="30" customFormat="1" x14ac:dyDescent="0.2">
      <c r="B27" s="41" t="s">
        <v>68</v>
      </c>
      <c r="C27" s="53"/>
      <c r="D27" s="60"/>
      <c r="E27" s="57">
        <f>(E26-D26)/D26</f>
        <v>3.6391177291427104</v>
      </c>
      <c r="F27" s="57">
        <f t="shared" ref="F27:M27" si="15">(F26-E26)/E26</f>
        <v>-0.71542242826219038</v>
      </c>
      <c r="G27" s="57">
        <f t="shared" si="15"/>
        <v>-0.38050263715310145</v>
      </c>
      <c r="H27" s="57">
        <f t="shared" si="15"/>
        <v>1.3782453055147907</v>
      </c>
      <c r="I27" s="57">
        <f t="shared" si="15"/>
        <v>-0.28488851199125859</v>
      </c>
      <c r="J27" s="57">
        <f t="shared" si="15"/>
        <v>0.51371237957879889</v>
      </c>
      <c r="K27" s="57">
        <f t="shared" si="15"/>
        <v>0.48298136545329562</v>
      </c>
      <c r="L27" s="57">
        <f t="shared" si="15"/>
        <v>-0.12565653867114485</v>
      </c>
      <c r="M27" s="71">
        <f t="shared" si="15"/>
        <v>7.1151143449357676E-2</v>
      </c>
    </row>
    <row r="28" spans="2:20" s="30" customFormat="1" x14ac:dyDescent="0.2">
      <c r="B28" s="81" t="s">
        <v>63</v>
      </c>
      <c r="C28" s="34">
        <v>32255</v>
      </c>
      <c r="D28" s="34">
        <v>16162</v>
      </c>
      <c r="E28" s="34">
        <v>19714</v>
      </c>
      <c r="F28" s="34">
        <v>26026</v>
      </c>
      <c r="G28" s="34">
        <v>33901</v>
      </c>
      <c r="H28" s="65">
        <f>((G29+G32)/2)*H26</f>
        <v>77880.63256343831</v>
      </c>
      <c r="I28" s="65">
        <f>((I33+H32)/2)*I26</f>
        <v>27754.072171836982</v>
      </c>
      <c r="J28" s="65">
        <f>((I29+I32)/2)*J26</f>
        <v>92442.357017033108</v>
      </c>
      <c r="K28" s="65">
        <f t="shared" ref="K28:M28" si="16">((J29+J32)/2)*K26</f>
        <v>141643.26392389167</v>
      </c>
      <c r="L28" s="65">
        <f t="shared" si="16"/>
        <v>127873.01151350465</v>
      </c>
      <c r="M28" s="66">
        <f>((L29+L32)/2)*M26</f>
        <v>142541.66736283561</v>
      </c>
      <c r="P28" s="31"/>
      <c r="Q28" s="31"/>
      <c r="R28" s="31"/>
      <c r="S28" s="31"/>
      <c r="T28" s="31"/>
    </row>
    <row r="29" spans="2:20" s="30" customFormat="1" x14ac:dyDescent="0.2">
      <c r="B29" s="51" t="s">
        <v>66</v>
      </c>
      <c r="C29" s="61"/>
      <c r="D29" s="52">
        <f>D28/D26</f>
        <v>38.398423332572818</v>
      </c>
      <c r="E29" s="52">
        <f>E28/E26</f>
        <v>10.096193095511506</v>
      </c>
      <c r="F29" s="52">
        <f t="shared" ref="F29:G29" si="17">F28/F26</f>
        <v>46.837062785379715</v>
      </c>
      <c r="G29" s="52">
        <f t="shared" si="17"/>
        <v>98.481640339538316</v>
      </c>
      <c r="H29" s="68">
        <v>107</v>
      </c>
      <c r="I29" s="68">
        <v>111</v>
      </c>
      <c r="J29" s="68">
        <v>115</v>
      </c>
      <c r="K29" s="68">
        <v>120</v>
      </c>
      <c r="L29" s="68">
        <v>127</v>
      </c>
      <c r="M29" s="72">
        <v>135</v>
      </c>
      <c r="P29" s="31"/>
      <c r="Q29" s="31"/>
      <c r="R29" s="31"/>
      <c r="S29" s="31"/>
      <c r="T29" s="31"/>
    </row>
    <row r="30" spans="2:20" s="30" customFormat="1" x14ac:dyDescent="0.2">
      <c r="B30" s="41" t="s">
        <v>70</v>
      </c>
      <c r="C30" s="61"/>
      <c r="D30" s="62"/>
      <c r="E30" s="49">
        <f>(E29-D29)/D29</f>
        <v>-0.7370675090467308</v>
      </c>
      <c r="F30" s="49">
        <f t="shared" ref="F30:G30" si="18">(F29-E29)/E29</f>
        <v>3.6390815173891831</v>
      </c>
      <c r="G30" s="49">
        <f t="shared" si="18"/>
        <v>1.102643387157052</v>
      </c>
      <c r="H30" s="49">
        <f>(H29-G29)/G29</f>
        <v>8.6496931114192058E-2</v>
      </c>
      <c r="I30" s="49">
        <f t="shared" ref="I30:M30" si="19">(I29-H29)/H29</f>
        <v>3.7383177570093455E-2</v>
      </c>
      <c r="J30" s="49">
        <f t="shared" si="19"/>
        <v>3.6036036036036036E-2</v>
      </c>
      <c r="K30" s="49">
        <f t="shared" si="19"/>
        <v>4.3478260869565216E-2</v>
      </c>
      <c r="L30" s="49">
        <f t="shared" si="19"/>
        <v>5.8333333333333334E-2</v>
      </c>
      <c r="M30" s="49">
        <f t="shared" si="19"/>
        <v>6.2992125984251968E-2</v>
      </c>
      <c r="P30" s="31"/>
      <c r="Q30" s="31"/>
      <c r="R30" s="31"/>
      <c r="S30" s="31"/>
      <c r="T30" s="31"/>
    </row>
    <row r="31" spans="2:20" s="30" customFormat="1" x14ac:dyDescent="0.2">
      <c r="B31" s="35" t="s">
        <v>59</v>
      </c>
      <c r="C31" s="34">
        <v>463403</v>
      </c>
      <c r="D31" s="34">
        <v>363404</v>
      </c>
      <c r="E31" s="34">
        <v>377499</v>
      </c>
      <c r="F31" s="34">
        <v>404381</v>
      </c>
      <c r="G31" s="34">
        <v>520195</v>
      </c>
      <c r="H31" s="34">
        <v>520195</v>
      </c>
      <c r="I31" s="34">
        <v>520195</v>
      </c>
      <c r="J31" s="34">
        <v>520195</v>
      </c>
      <c r="K31" s="34">
        <v>520195</v>
      </c>
      <c r="L31" s="34">
        <v>520195</v>
      </c>
      <c r="M31" s="88">
        <v>520195</v>
      </c>
    </row>
    <row r="32" spans="2:20" s="30" customFormat="1" x14ac:dyDescent="0.2">
      <c r="B32" s="35" t="s">
        <v>60</v>
      </c>
      <c r="C32" s="31">
        <f>C31/C22</f>
        <v>85.12178545187362</v>
      </c>
      <c r="D32" s="31">
        <f t="shared" ref="D32:G32" si="20">D31/D22</f>
        <v>69.794831973224461</v>
      </c>
      <c r="E32" s="31">
        <f t="shared" si="20"/>
        <v>90.397270114942529</v>
      </c>
      <c r="F32" s="31">
        <f t="shared" si="20"/>
        <v>88.777387486278812</v>
      </c>
      <c r="G32" s="31">
        <f t="shared" si="20"/>
        <v>91.777522935779814</v>
      </c>
      <c r="H32" s="68">
        <f>G32*H33+G32</f>
        <v>94.783258088263949</v>
      </c>
      <c r="I32" s="68">
        <f t="shared" ref="I32:M32" si="21">H32*I33+H32</f>
        <v>97.626755830911861</v>
      </c>
      <c r="J32" s="68">
        <f t="shared" si="21"/>
        <v>100.55555850583922</v>
      </c>
      <c r="K32" s="68">
        <f t="shared" si="21"/>
        <v>102.56666967595601</v>
      </c>
      <c r="L32" s="68">
        <f t="shared" si="21"/>
        <v>104.61800306947512</v>
      </c>
      <c r="M32" s="72">
        <f t="shared" si="21"/>
        <v>107.233453146212</v>
      </c>
    </row>
    <row r="33" spans="2:20" s="30" customFormat="1" x14ac:dyDescent="0.2">
      <c r="B33" s="41" t="s">
        <v>69</v>
      </c>
      <c r="C33" s="54"/>
      <c r="D33" s="49">
        <f>(D32-C32)/C32</f>
        <v>-0.18005911644457637</v>
      </c>
      <c r="E33" s="49">
        <f t="shared" ref="E33:G33" si="22">(E32-D32)/D32</f>
        <v>0.29518572592340109</v>
      </c>
      <c r="F33" s="49">
        <f t="shared" si="22"/>
        <v>-1.7919596759990577E-2</v>
      </c>
      <c r="G33" s="49">
        <f t="shared" si="22"/>
        <v>3.3793914581736195E-2</v>
      </c>
      <c r="H33" s="67">
        <f>(D33+E33+F33+G33)/4</f>
        <v>3.2750231825142584E-2</v>
      </c>
      <c r="I33" s="67">
        <v>0.03</v>
      </c>
      <c r="J33" s="67">
        <v>0.03</v>
      </c>
      <c r="K33" s="67">
        <v>0.02</v>
      </c>
      <c r="L33" s="67">
        <v>0.02</v>
      </c>
      <c r="M33" s="73">
        <f t="shared" ref="M33" si="23">(I33+J33+K33+L33)/4</f>
        <v>2.5000000000000001E-2</v>
      </c>
    </row>
    <row r="34" spans="2:20" s="31" customFormat="1" x14ac:dyDescent="0.2">
      <c r="B34" s="39" t="s">
        <v>71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12"/>
    </row>
    <row r="35" spans="2:20" s="31" customFormat="1" x14ac:dyDescent="0.2">
      <c r="B35" s="35" t="s">
        <v>78</v>
      </c>
      <c r="C35" s="48">
        <v>800000</v>
      </c>
      <c r="D35" s="48">
        <f>C35*0.075+C35</f>
        <v>860000</v>
      </c>
      <c r="E35" s="48">
        <f t="shared" ref="E35:M35" si="24">D35*0.075+D35</f>
        <v>924500</v>
      </c>
      <c r="F35" s="48">
        <f t="shared" si="24"/>
        <v>993837.5</v>
      </c>
      <c r="G35" s="48">
        <f t="shared" si="24"/>
        <v>1068375.3125</v>
      </c>
      <c r="H35" s="48">
        <f t="shared" si="24"/>
        <v>1148503.4609375</v>
      </c>
      <c r="I35" s="48">
        <f t="shared" si="24"/>
        <v>1234641.2205078125</v>
      </c>
      <c r="J35" s="48">
        <f t="shared" si="24"/>
        <v>1327239.3120458983</v>
      </c>
      <c r="K35" s="48">
        <f t="shared" si="24"/>
        <v>1426782.2604493406</v>
      </c>
      <c r="L35" s="48">
        <f t="shared" si="24"/>
        <v>1533790.929983041</v>
      </c>
      <c r="M35" s="77">
        <f t="shared" si="24"/>
        <v>1648825.2497317691</v>
      </c>
    </row>
    <row r="36" spans="2:20" s="30" customFormat="1" x14ac:dyDescent="0.2">
      <c r="B36" s="35" t="s">
        <v>74</v>
      </c>
      <c r="C36" s="49">
        <f>C38/C35</f>
        <v>3.2618750000000002E-2</v>
      </c>
      <c r="D36" s="49">
        <f t="shared" ref="D36:F36" si="25">D38/D35</f>
        <v>3.0531395348837208E-2</v>
      </c>
      <c r="E36" s="49">
        <f t="shared" si="25"/>
        <v>2.8707409410492157E-2</v>
      </c>
      <c r="F36" s="49">
        <f t="shared" si="25"/>
        <v>2.3306627089438665E-2</v>
      </c>
      <c r="G36" s="92">
        <f>G38/G35</f>
        <v>3.1731358449936103E-2</v>
      </c>
      <c r="H36" s="89">
        <v>0.03</v>
      </c>
      <c r="I36" s="89">
        <v>2.5000000000000001E-2</v>
      </c>
      <c r="J36" s="89">
        <v>0.02</v>
      </c>
      <c r="K36" s="89">
        <v>0.02</v>
      </c>
      <c r="L36" s="89">
        <v>0.01</v>
      </c>
      <c r="M36" s="90">
        <v>0.01</v>
      </c>
      <c r="P36" s="31"/>
      <c r="Q36" s="31"/>
      <c r="R36" s="31"/>
      <c r="S36" s="31"/>
      <c r="T36" s="31"/>
    </row>
    <row r="37" spans="2:20" s="30" customFormat="1" x14ac:dyDescent="0.2">
      <c r="B37" s="41" t="s">
        <v>75</v>
      </c>
      <c r="C37" s="3"/>
      <c r="D37" s="67">
        <f>(D36-C36)</f>
        <v>-2.0873546511627934E-3</v>
      </c>
      <c r="E37" s="67">
        <f t="shared" ref="E37:F37" si="26">(E36-D36)</f>
        <v>-1.8239859383450512E-3</v>
      </c>
      <c r="F37" s="67">
        <f t="shared" si="26"/>
        <v>-5.4007823210534926E-3</v>
      </c>
      <c r="G37" s="67">
        <f>(G36-F36)</f>
        <v>8.4247313604974387E-3</v>
      </c>
      <c r="H37" s="91">
        <f>(H36-G36)</f>
        <v>-1.7313584499361045E-3</v>
      </c>
      <c r="I37" s="91">
        <f t="shared" ref="I37:M37" si="27">(I36-H36)</f>
        <v>-4.9999999999999975E-3</v>
      </c>
      <c r="J37" s="91">
        <f t="shared" si="27"/>
        <v>-5.000000000000001E-3</v>
      </c>
      <c r="K37" s="91">
        <f t="shared" si="27"/>
        <v>0</v>
      </c>
      <c r="L37" s="91">
        <f t="shared" si="27"/>
        <v>-0.01</v>
      </c>
      <c r="M37" s="95">
        <f t="shared" si="27"/>
        <v>0</v>
      </c>
      <c r="P37" s="31"/>
      <c r="Q37" s="31"/>
      <c r="R37" s="31"/>
      <c r="S37" s="31"/>
      <c r="T37" s="31"/>
    </row>
    <row r="38" spans="2:20" s="30" customFormat="1" x14ac:dyDescent="0.2">
      <c r="B38" s="35" t="s">
        <v>39</v>
      </c>
      <c r="C38" s="34">
        <v>26095</v>
      </c>
      <c r="D38" s="34">
        <v>26257</v>
      </c>
      <c r="E38" s="34">
        <v>26540</v>
      </c>
      <c r="F38" s="85">
        <v>23163</v>
      </c>
      <c r="G38" s="85">
        <v>33901</v>
      </c>
      <c r="H38" s="63">
        <f>H36*H35</f>
        <v>34455.103828125</v>
      </c>
      <c r="I38" s="63">
        <f t="shared" ref="I38:M38" si="28">I36*I35</f>
        <v>30866.030512695314</v>
      </c>
      <c r="J38" s="63">
        <f t="shared" si="28"/>
        <v>26544.786240917965</v>
      </c>
      <c r="K38" s="63">
        <f t="shared" si="28"/>
        <v>28535.645208986811</v>
      </c>
      <c r="L38" s="63">
        <f t="shared" si="28"/>
        <v>15337.909299830411</v>
      </c>
      <c r="M38" s="70">
        <f t="shared" si="28"/>
        <v>16488.252497317691</v>
      </c>
      <c r="P38" s="31"/>
      <c r="Q38" s="31"/>
      <c r="R38" s="31"/>
      <c r="S38" s="31"/>
      <c r="T38" s="31"/>
    </row>
    <row r="39" spans="2:20" s="30" customFormat="1" x14ac:dyDescent="0.2">
      <c r="B39" s="41" t="s">
        <v>76</v>
      </c>
      <c r="C39" s="43"/>
      <c r="D39" s="49">
        <f>(D38-C38)/C38</f>
        <v>6.2080858401992716E-3</v>
      </c>
      <c r="E39" s="49">
        <f t="shared" ref="E39:M39" si="29">(E38-D38)/D38</f>
        <v>1.0778078226758579E-2</v>
      </c>
      <c r="F39" s="49">
        <f t="shared" si="29"/>
        <v>-0.12724189902034666</v>
      </c>
      <c r="G39" s="79">
        <f t="shared" si="29"/>
        <v>0.4635841644001209</v>
      </c>
      <c r="H39" s="57">
        <f t="shared" si="29"/>
        <v>1.6344763520987592E-2</v>
      </c>
      <c r="I39" s="57">
        <f t="shared" si="29"/>
        <v>-0.10416666666666664</v>
      </c>
      <c r="J39" s="57">
        <f t="shared" si="29"/>
        <v>-0.14000000000000015</v>
      </c>
      <c r="K39" s="57">
        <f t="shared" si="29"/>
        <v>7.4999999999999928E-2</v>
      </c>
      <c r="L39" s="57">
        <f t="shared" si="29"/>
        <v>-0.46249999999999997</v>
      </c>
      <c r="M39" s="71">
        <f t="shared" si="29"/>
        <v>7.4999999999999956E-2</v>
      </c>
      <c r="P39" s="31"/>
      <c r="Q39" s="31"/>
      <c r="R39" s="31"/>
      <c r="S39" s="31"/>
      <c r="T39" s="31"/>
    </row>
    <row r="40" spans="2:20" x14ac:dyDescent="0.2">
      <c r="B40" s="39" t="s">
        <v>73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12"/>
      <c r="N40" s="7"/>
      <c r="O40" s="7"/>
      <c r="P40" s="7"/>
      <c r="Q40" s="8"/>
      <c r="R40" s="7"/>
      <c r="S40" s="7"/>
      <c r="T40" s="7"/>
    </row>
    <row r="41" spans="2:20" s="30" customFormat="1" x14ac:dyDescent="0.2">
      <c r="B41" s="35" t="s">
        <v>39</v>
      </c>
      <c r="C41" s="34">
        <v>18468</v>
      </c>
      <c r="D41" s="34">
        <v>15543</v>
      </c>
      <c r="E41" s="34">
        <v>16328</v>
      </c>
      <c r="F41" s="34">
        <v>17611</v>
      </c>
      <c r="G41" s="34">
        <v>19127</v>
      </c>
      <c r="H41" s="34">
        <f>G41*H42+G41</f>
        <v>20465.89</v>
      </c>
      <c r="I41" s="34">
        <f t="shared" ref="I41:L41" si="30">H41*I42+H41</f>
        <v>21693.843399999998</v>
      </c>
      <c r="J41" s="34">
        <f t="shared" si="30"/>
        <v>22778.535569999996</v>
      </c>
      <c r="K41" s="34">
        <f t="shared" si="30"/>
        <v>23689.676992799996</v>
      </c>
      <c r="L41" s="34">
        <f t="shared" si="30"/>
        <v>24637.264072511996</v>
      </c>
      <c r="M41" s="88">
        <f>L41*M42+L41</f>
        <v>25376.381994687355</v>
      </c>
    </row>
    <row r="42" spans="2:20" s="30" customFormat="1" ht="16" thickBot="1" x14ac:dyDescent="0.25">
      <c r="B42" s="36" t="s">
        <v>76</v>
      </c>
      <c r="C42" s="42"/>
      <c r="D42" s="93">
        <f>(D41-C41)/C41</f>
        <v>-0.15838206627680312</v>
      </c>
      <c r="E42" s="93">
        <f t="shared" ref="E42:G42" si="31">(E41-D41)/D41</f>
        <v>5.0505050505050504E-2</v>
      </c>
      <c r="F42" s="93">
        <f t="shared" si="31"/>
        <v>7.8576678098971092E-2</v>
      </c>
      <c r="G42" s="93">
        <f t="shared" si="31"/>
        <v>8.6082562035091709E-2</v>
      </c>
      <c r="H42" s="94">
        <v>7.0000000000000007E-2</v>
      </c>
      <c r="I42" s="94">
        <v>0.06</v>
      </c>
      <c r="J42" s="94">
        <v>0.05</v>
      </c>
      <c r="K42" s="94">
        <v>0.04</v>
      </c>
      <c r="L42" s="94">
        <v>0.04</v>
      </c>
      <c r="M42" s="96">
        <v>0.03</v>
      </c>
    </row>
    <row r="43" spans="2:20" ht="16" thickBot="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20" ht="16" thickBot="1" x14ac:dyDescent="0.25">
      <c r="B44" s="82" t="s">
        <v>34</v>
      </c>
      <c r="C44" s="83">
        <v>76559</v>
      </c>
      <c r="D44" s="83">
        <v>58158</v>
      </c>
      <c r="E44" s="83">
        <v>62286</v>
      </c>
      <c r="F44" s="83">
        <v>66608</v>
      </c>
      <c r="G44" s="83">
        <v>77794</v>
      </c>
      <c r="H44" s="97">
        <f>SUM(H41+H38+H28)</f>
        <v>132801.6263915633</v>
      </c>
      <c r="I44" s="97">
        <f t="shared" ref="I44:M44" si="32">SUM(I41+I38+I28)</f>
        <v>80313.946084532305</v>
      </c>
      <c r="J44" s="97">
        <f>SUM(J41+J38+J28)</f>
        <v>141765.67882795108</v>
      </c>
      <c r="K44" s="97">
        <f t="shared" si="32"/>
        <v>193868.5861256785</v>
      </c>
      <c r="L44" s="97">
        <f t="shared" si="32"/>
        <v>167848.18488584706</v>
      </c>
      <c r="M44" s="98">
        <f t="shared" si="32"/>
        <v>184406.30185484065</v>
      </c>
      <c r="N44" s="3"/>
    </row>
    <row r="45" spans="2:20" x14ac:dyDescent="0.2">
      <c r="H45" s="3"/>
      <c r="I45" s="3"/>
      <c r="J45" s="3"/>
      <c r="K45" s="3"/>
      <c r="L45" s="3"/>
      <c r="M45" s="3"/>
      <c r="N45" s="3"/>
    </row>
    <row r="46" spans="2:20" x14ac:dyDescent="0.2">
      <c r="H46" s="3"/>
      <c r="I46" s="3"/>
      <c r="J46" s="3"/>
      <c r="K46" s="3"/>
      <c r="L46" s="3"/>
      <c r="M46" s="3"/>
      <c r="N46" s="3"/>
    </row>
    <row r="47" spans="2:20" x14ac:dyDescent="0.2">
      <c r="B47" s="84" t="s">
        <v>77</v>
      </c>
      <c r="N47" s="3"/>
    </row>
    <row r="48" spans="2:20" x14ac:dyDescent="0.2">
      <c r="N48" s="3"/>
    </row>
    <row r="49" spans="14:14" x14ac:dyDescent="0.2">
      <c r="N49" s="3"/>
    </row>
    <row r="50" spans="14:14" x14ac:dyDescent="0.2">
      <c r="N50" s="3"/>
    </row>
    <row r="51" spans="14:14" x14ac:dyDescent="0.2">
      <c r="N51" s="3"/>
    </row>
    <row r="52" spans="14:14" x14ac:dyDescent="0.2">
      <c r="N52" s="3"/>
    </row>
    <row r="53" spans="14:14" x14ac:dyDescent="0.2">
      <c r="N53" s="3"/>
    </row>
    <row r="54" spans="14:14" x14ac:dyDescent="0.2">
      <c r="N54" s="3"/>
    </row>
    <row r="55" spans="14:14" x14ac:dyDescent="0.2">
      <c r="N55" s="3"/>
    </row>
    <row r="56" spans="14:14" x14ac:dyDescent="0.2">
      <c r="N56" s="3"/>
    </row>
  </sheetData>
  <mergeCells count="3">
    <mergeCell ref="B2:B4"/>
    <mergeCell ref="C2:G4"/>
    <mergeCell ref="H2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A493-A5FA-1A4A-B13C-B05E678205FA}">
  <sheetPr>
    <tabColor rgb="FFFF0000"/>
  </sheetPr>
  <dimension ref="A1:P89"/>
  <sheetViews>
    <sheetView topLeftCell="A31" zoomScale="133" zoomScaleNormal="138" workbookViewId="0">
      <selection activeCell="G39" sqref="G39"/>
    </sheetView>
  </sheetViews>
  <sheetFormatPr baseColWidth="10" defaultRowHeight="15" x14ac:dyDescent="0.2"/>
  <cols>
    <col min="1" max="1" width="10.83203125" style="1"/>
    <col min="2" max="2" width="38.6640625" style="1" customWidth="1"/>
    <col min="3" max="3" width="13.5" style="1" customWidth="1"/>
    <col min="4" max="4" width="10.83203125" style="1"/>
    <col min="5" max="5" width="10.83203125" style="1" customWidth="1"/>
    <col min="6" max="7" width="10.83203125" style="1"/>
    <col min="8" max="8" width="12" style="1" customWidth="1"/>
    <col min="9" max="9" width="12.33203125" style="1" customWidth="1"/>
    <col min="10" max="10" width="12.1640625" style="1" customWidth="1"/>
    <col min="11" max="11" width="11.83203125" style="1" customWidth="1"/>
    <col min="12" max="12" width="12.83203125" style="1" customWidth="1"/>
    <col min="13" max="13" width="14" style="1" customWidth="1"/>
    <col min="14" max="14" width="12.5" style="1" bestFit="1" customWidth="1"/>
    <col min="15" max="15" width="12.33203125" style="1" customWidth="1"/>
    <col min="16" max="16" width="12.6640625" style="1" customWidth="1"/>
    <col min="17" max="16384" width="10.83203125" style="1"/>
  </cols>
  <sheetData>
    <row r="1" spans="2:16" ht="16" thickBot="1" x14ac:dyDescent="0.25"/>
    <row r="2" spans="2:16" ht="14" customHeight="1" x14ac:dyDescent="0.2">
      <c r="B2" s="26" t="s">
        <v>29</v>
      </c>
      <c r="C2" s="16" t="s">
        <v>0</v>
      </c>
      <c r="D2" s="16"/>
      <c r="E2" s="16"/>
      <c r="F2" s="16"/>
      <c r="G2" s="16"/>
      <c r="H2" s="17" t="s">
        <v>1</v>
      </c>
      <c r="I2" s="17"/>
      <c r="J2" s="17"/>
      <c r="K2" s="17"/>
      <c r="L2" s="17"/>
      <c r="M2" s="17"/>
      <c r="N2" s="17"/>
      <c r="O2" s="17"/>
      <c r="P2" s="18"/>
    </row>
    <row r="3" spans="2:16" ht="14" customHeight="1" x14ac:dyDescent="0.2">
      <c r="B3" s="27"/>
      <c r="C3" s="14"/>
      <c r="D3" s="14"/>
      <c r="E3" s="14"/>
      <c r="F3" s="14"/>
      <c r="G3" s="14"/>
      <c r="H3" s="15"/>
      <c r="I3" s="15"/>
      <c r="J3" s="15"/>
      <c r="K3" s="15"/>
      <c r="L3" s="15"/>
      <c r="M3" s="15"/>
      <c r="N3" s="15"/>
      <c r="O3" s="15"/>
      <c r="P3" s="19"/>
    </row>
    <row r="4" spans="2:16" ht="14" customHeight="1" x14ac:dyDescent="0.2">
      <c r="B4" s="27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5"/>
      <c r="P4" s="19"/>
    </row>
    <row r="5" spans="2:16" ht="16" x14ac:dyDescent="0.2">
      <c r="B5" s="20"/>
      <c r="C5" s="21">
        <v>2019</v>
      </c>
      <c r="D5" s="21">
        <v>2020</v>
      </c>
      <c r="E5" s="21">
        <v>2021</v>
      </c>
      <c r="F5" s="21">
        <f t="shared" ref="F5:M5" si="0">E5+1</f>
        <v>2022</v>
      </c>
      <c r="G5" s="21">
        <f t="shared" si="0"/>
        <v>2023</v>
      </c>
      <c r="H5" s="21">
        <f>G5+1</f>
        <v>2024</v>
      </c>
      <c r="I5" s="21">
        <f t="shared" si="0"/>
        <v>2025</v>
      </c>
      <c r="J5" s="21">
        <f t="shared" si="0"/>
        <v>2026</v>
      </c>
      <c r="K5" s="21">
        <f t="shared" si="0"/>
        <v>2027</v>
      </c>
      <c r="L5" s="21">
        <f t="shared" si="0"/>
        <v>2028</v>
      </c>
      <c r="M5" s="21">
        <f t="shared" si="0"/>
        <v>2029</v>
      </c>
      <c r="N5" s="10">
        <v>2030</v>
      </c>
      <c r="O5" s="10">
        <v>2031</v>
      </c>
      <c r="P5" s="11">
        <v>2032</v>
      </c>
    </row>
    <row r="6" spans="2:16" x14ac:dyDescent="0.2">
      <c r="B6" s="35" t="s">
        <v>39</v>
      </c>
      <c r="C6" s="34">
        <v>76559</v>
      </c>
      <c r="D6" s="34">
        <v>58158</v>
      </c>
      <c r="E6" s="34">
        <v>62286</v>
      </c>
      <c r="F6" s="34">
        <v>66608</v>
      </c>
      <c r="G6" s="34">
        <v>77794</v>
      </c>
      <c r="H6" s="34">
        <v>132801.6263915633</v>
      </c>
      <c r="I6" s="34">
        <v>80313.946084532305</v>
      </c>
      <c r="J6" s="34">
        <v>141765.67882795108</v>
      </c>
      <c r="K6" s="34">
        <v>193868.5861256785</v>
      </c>
      <c r="L6" s="34">
        <v>167848.18488584706</v>
      </c>
      <c r="M6" s="34">
        <v>184406.30185484065</v>
      </c>
      <c r="N6" s="68">
        <f>M6*N7+M6</f>
        <v>206535.05807742153</v>
      </c>
      <c r="O6" s="68">
        <f t="shared" ref="O6:P6" si="1">N6*O7+N6</f>
        <v>216861.81098129263</v>
      </c>
      <c r="P6" s="68">
        <f t="shared" si="1"/>
        <v>227704.90153035725</v>
      </c>
    </row>
    <row r="7" spans="2:16" x14ac:dyDescent="0.2">
      <c r="B7" s="35" t="s">
        <v>40</v>
      </c>
      <c r="C7" s="3"/>
      <c r="D7" s="49">
        <f>(D6-C6)/C6</f>
        <v>-0.24035057929178802</v>
      </c>
      <c r="E7" s="49">
        <f t="shared" ref="E7:M7" si="2">(E6-D6)/D6</f>
        <v>7.0979057051480443E-2</v>
      </c>
      <c r="F7" s="49">
        <f t="shared" si="2"/>
        <v>6.938958995600937E-2</v>
      </c>
      <c r="G7" s="49">
        <f t="shared" si="2"/>
        <v>0.1679377852510209</v>
      </c>
      <c r="H7" s="49">
        <f t="shared" si="2"/>
        <v>0.70709343126157931</v>
      </c>
      <c r="I7" s="49">
        <f t="shared" si="2"/>
        <v>-0.39523371613139718</v>
      </c>
      <c r="J7" s="49">
        <f t="shared" si="2"/>
        <v>0.76514398481602919</v>
      </c>
      <c r="K7" s="49">
        <f t="shared" si="2"/>
        <v>0.36752835896874786</v>
      </c>
      <c r="L7" s="49">
        <f t="shared" si="2"/>
        <v>-0.13421669678326989</v>
      </c>
      <c r="M7" s="49">
        <f t="shared" si="2"/>
        <v>9.8649365676815079E-2</v>
      </c>
      <c r="N7" s="49">
        <v>0.12</v>
      </c>
      <c r="O7" s="49">
        <v>0.05</v>
      </c>
      <c r="P7" s="69">
        <v>0.05</v>
      </c>
    </row>
    <row r="8" spans="2:16" x14ac:dyDescent="0.2">
      <c r="B8" s="35" t="s">
        <v>80</v>
      </c>
      <c r="C8" s="34">
        <v>-1975</v>
      </c>
      <c r="D8" s="34">
        <v>-12767</v>
      </c>
      <c r="E8" s="34">
        <v>-2870</v>
      </c>
      <c r="F8" s="34">
        <v>-3519</v>
      </c>
      <c r="G8" s="34">
        <v>-773</v>
      </c>
      <c r="H8" s="34">
        <f>H9*H6</f>
        <v>-4470.1976516927471</v>
      </c>
      <c r="I8" s="34">
        <f>I9*I6</f>
        <v>-1924.3795449524141</v>
      </c>
      <c r="J8" s="34">
        <f>J9*J6</f>
        <v>-2021.6798936446355</v>
      </c>
      <c r="K8" s="34">
        <f t="shared" ref="K8:P8" si="3">K9*K6</f>
        <v>-884.17930189687968</v>
      </c>
      <c r="L8" s="34">
        <f t="shared" si="3"/>
        <v>862.61971676057362</v>
      </c>
      <c r="M8" s="34">
        <f t="shared" si="3"/>
        <v>2736.4577326312724</v>
      </c>
      <c r="N8" s="34">
        <f t="shared" si="3"/>
        <v>5068.222723898014</v>
      </c>
      <c r="O8" s="34">
        <f t="shared" si="3"/>
        <v>7425.193426611454</v>
      </c>
      <c r="P8" s="34">
        <f t="shared" si="3"/>
        <v>10005.190642786492</v>
      </c>
    </row>
    <row r="9" spans="2:16" x14ac:dyDescent="0.2">
      <c r="B9" s="41" t="s">
        <v>79</v>
      </c>
      <c r="C9" s="49">
        <f>C8/C6</f>
        <v>-2.5797097663240117E-2</v>
      </c>
      <c r="D9" s="49">
        <f t="shared" ref="D9:G9" si="4">D8/D6</f>
        <v>-0.21952267959696001</v>
      </c>
      <c r="E9" s="49">
        <f t="shared" si="4"/>
        <v>-4.6077770285457405E-2</v>
      </c>
      <c r="F9" s="49">
        <f t="shared" si="4"/>
        <v>-5.2831491712707179E-2</v>
      </c>
      <c r="G9" s="49">
        <f t="shared" si="4"/>
        <v>-9.9364989587885956E-3</v>
      </c>
      <c r="H9" s="92">
        <f>AVERAGE(C9,E9,F9,G9)</f>
        <v>-3.3660714655048322E-2</v>
      </c>
      <c r="I9" s="92">
        <f>H9+0.97%</f>
        <v>-2.3960714655048322E-2</v>
      </c>
      <c r="J9" s="92">
        <f t="shared" ref="J9:P9" si="5">I9+0.97%</f>
        <v>-1.4260714655048322E-2</v>
      </c>
      <c r="K9" s="92">
        <f t="shared" si="5"/>
        <v>-4.5607146550483216E-3</v>
      </c>
      <c r="L9" s="92">
        <f t="shared" si="5"/>
        <v>5.1392853449516787E-3</v>
      </c>
      <c r="M9" s="92">
        <f t="shared" si="5"/>
        <v>1.4839285344951679E-2</v>
      </c>
      <c r="N9" s="92">
        <f t="shared" si="5"/>
        <v>2.4539285344951679E-2</v>
      </c>
      <c r="O9" s="92">
        <f t="shared" si="5"/>
        <v>3.423928534495168E-2</v>
      </c>
      <c r="P9" s="92">
        <f t="shared" si="5"/>
        <v>4.393928534495168E-2</v>
      </c>
    </row>
    <row r="10" spans="2:16" x14ac:dyDescent="0.2">
      <c r="B10" s="35" t="s">
        <v>46</v>
      </c>
      <c r="C10" s="99">
        <f>C8*(1-0.2)</f>
        <v>-1580</v>
      </c>
      <c r="D10" s="99">
        <f t="shared" ref="D10:P10" si="6">D8*(1-0.2)</f>
        <v>-10213.6</v>
      </c>
      <c r="E10" s="99">
        <f t="shared" si="6"/>
        <v>-2296</v>
      </c>
      <c r="F10" s="99">
        <f t="shared" si="6"/>
        <v>-2815.2000000000003</v>
      </c>
      <c r="G10" s="99">
        <f t="shared" si="6"/>
        <v>-618.40000000000009</v>
      </c>
      <c r="H10" s="99">
        <f t="shared" si="6"/>
        <v>-3576.1581213541976</v>
      </c>
      <c r="I10" s="99">
        <f t="shared" si="6"/>
        <v>-1539.5036359619314</v>
      </c>
      <c r="J10" s="99">
        <f t="shared" si="6"/>
        <v>-1617.3439149157084</v>
      </c>
      <c r="K10" s="99">
        <f t="shared" si="6"/>
        <v>-707.34344151750383</v>
      </c>
      <c r="L10" s="99">
        <f t="shared" si="6"/>
        <v>690.09577340845897</v>
      </c>
      <c r="M10" s="99">
        <f t="shared" si="6"/>
        <v>2189.1661861050179</v>
      </c>
      <c r="N10" s="99">
        <f t="shared" si="6"/>
        <v>4054.5781791184113</v>
      </c>
      <c r="O10" s="99">
        <f t="shared" si="6"/>
        <v>5940.1547412891632</v>
      </c>
      <c r="P10" s="99">
        <f t="shared" si="6"/>
        <v>8004.1525142291939</v>
      </c>
    </row>
    <row r="11" spans="2:16" x14ac:dyDescent="0.2">
      <c r="B11" s="40" t="s">
        <v>42</v>
      </c>
      <c r="C11" s="34">
        <v>2271</v>
      </c>
      <c r="D11" s="34">
        <v>2246</v>
      </c>
      <c r="E11" s="34">
        <v>2144</v>
      </c>
      <c r="F11" s="34">
        <v>1979</v>
      </c>
      <c r="G11" s="34">
        <v>1861</v>
      </c>
      <c r="H11" s="68">
        <f>H12*H6</f>
        <v>2656.0325278312662</v>
      </c>
      <c r="I11" s="68">
        <f t="shared" ref="I11:P11" si="7">I12*I6</f>
        <v>1204.7091912679846</v>
      </c>
      <c r="J11" s="68">
        <f t="shared" si="7"/>
        <v>2126.485182419266</v>
      </c>
      <c r="K11" s="68">
        <f t="shared" si="7"/>
        <v>2423.3573265709815</v>
      </c>
      <c r="L11" s="68">
        <f t="shared" si="7"/>
        <v>2098.1023110730885</v>
      </c>
      <c r="M11" s="68">
        <f t="shared" si="7"/>
        <v>2028.4693204032471</v>
      </c>
      <c r="N11" s="68">
        <f t="shared" si="7"/>
        <v>2271.8856388516369</v>
      </c>
      <c r="O11" s="68">
        <f t="shared" si="7"/>
        <v>2277.0490153035726</v>
      </c>
      <c r="P11" s="68">
        <f t="shared" si="7"/>
        <v>2277.0490153035726</v>
      </c>
    </row>
    <row r="12" spans="2:16" x14ac:dyDescent="0.2">
      <c r="B12" s="100" t="s">
        <v>41</v>
      </c>
      <c r="C12" s="49">
        <f>C11/C6</f>
        <v>2.9663396857325722E-2</v>
      </c>
      <c r="D12" s="49">
        <f t="shared" ref="D12:G12" si="8">D11/D6</f>
        <v>3.8618934626362671E-2</v>
      </c>
      <c r="E12" s="49">
        <f t="shared" si="8"/>
        <v>3.4421860450181418E-2</v>
      </c>
      <c r="F12" s="89">
        <f t="shared" si="8"/>
        <v>2.9711145808311315E-2</v>
      </c>
      <c r="G12" s="89">
        <f t="shared" si="8"/>
        <v>2.3922153379438003E-2</v>
      </c>
      <c r="H12" s="89">
        <v>0.02</v>
      </c>
      <c r="I12" s="89">
        <v>1.4999999999999999E-2</v>
      </c>
      <c r="J12" s="89">
        <v>1.4999999999999999E-2</v>
      </c>
      <c r="K12" s="89">
        <v>1.2500000000000001E-2</v>
      </c>
      <c r="L12" s="89">
        <v>1.2500000000000001E-2</v>
      </c>
      <c r="M12" s="89">
        <v>1.0999999999999999E-2</v>
      </c>
      <c r="N12" s="89">
        <v>1.0999999999999999E-2</v>
      </c>
      <c r="O12" s="92">
        <v>1.0500000000000001E-2</v>
      </c>
      <c r="P12" s="89">
        <v>0.01</v>
      </c>
    </row>
    <row r="13" spans="2:16" x14ac:dyDescent="0.2">
      <c r="B13" s="40" t="s">
        <v>43</v>
      </c>
      <c r="C13" s="34">
        <v>1834</v>
      </c>
      <c r="D13" s="34">
        <v>1303</v>
      </c>
      <c r="E13" s="34">
        <v>980</v>
      </c>
      <c r="F13" s="34">
        <v>1222</v>
      </c>
      <c r="G13" s="34">
        <v>1527</v>
      </c>
      <c r="H13" s="68">
        <f>H6*H14</f>
        <v>2657.855779541213</v>
      </c>
      <c r="I13" s="68">
        <f t="shared" ref="I13:P13" si="9">I6*I14</f>
        <v>1544.0676427414317</v>
      </c>
      <c r="J13" s="68">
        <f t="shared" si="9"/>
        <v>2635.3646679506578</v>
      </c>
      <c r="K13" s="68">
        <f t="shared" si="9"/>
        <v>3714.6623695326457</v>
      </c>
      <c r="L13" s="68">
        <f t="shared" si="9"/>
        <v>3243.4377735584471</v>
      </c>
      <c r="M13" s="68">
        <f t="shared" si="9"/>
        <v>3552.1474987762617</v>
      </c>
      <c r="N13" s="68">
        <f t="shared" si="9"/>
        <v>3947.3788964280016</v>
      </c>
      <c r="O13" s="68">
        <f t="shared" si="9"/>
        <v>4139.8464493432821</v>
      </c>
      <c r="P13" s="68">
        <f t="shared" si="9"/>
        <v>4369.6187523566177</v>
      </c>
    </row>
    <row r="14" spans="2:16" x14ac:dyDescent="0.2">
      <c r="B14" s="41" t="s">
        <v>41</v>
      </c>
      <c r="C14" s="92">
        <f>C13/C6</f>
        <v>2.3955380817408795E-2</v>
      </c>
      <c r="D14" s="92">
        <f t="shared" ref="D14:G14" si="10">D13/D6</f>
        <v>2.2404484335774959E-2</v>
      </c>
      <c r="E14" s="92">
        <f t="shared" si="10"/>
        <v>1.5733872780400091E-2</v>
      </c>
      <c r="F14" s="92">
        <f t="shared" si="10"/>
        <v>1.8346144607254384E-2</v>
      </c>
      <c r="G14" s="92">
        <f t="shared" si="10"/>
        <v>1.9628763143687174E-2</v>
      </c>
      <c r="H14" s="92">
        <f>AVERAGE(C14:G14)</f>
        <v>2.0013729136905078E-2</v>
      </c>
      <c r="I14" s="92">
        <f>AVERAGE(D14:H14)</f>
        <v>1.9225398800804337E-2</v>
      </c>
      <c r="J14" s="92">
        <f>AVERAGE(E14:I14)</f>
        <v>1.8589581693810215E-2</v>
      </c>
      <c r="K14" s="92">
        <f>AVERAGE(F14:J14)</f>
        <v>1.9160723476492239E-2</v>
      </c>
      <c r="L14" s="92">
        <f>AVERAGE(G14:K14)</f>
        <v>1.9323639250339808E-2</v>
      </c>
      <c r="M14" s="92">
        <f>AVERAGE(H14:L14)</f>
        <v>1.9262614471670336E-2</v>
      </c>
      <c r="N14" s="92">
        <f>AVERAGE(I14:M14)</f>
        <v>1.9112391538623388E-2</v>
      </c>
      <c r="O14" s="92">
        <f>AVERAGE(J14:N14)</f>
        <v>1.9089790086187199E-2</v>
      </c>
      <c r="P14" s="92">
        <f>AVERAGE(K14:O14)</f>
        <v>1.9189831764662595E-2</v>
      </c>
    </row>
    <row r="15" spans="2:16" x14ac:dyDescent="0.2">
      <c r="B15" s="35" t="s">
        <v>44</v>
      </c>
      <c r="C15" s="45">
        <v>0</v>
      </c>
      <c r="D15" s="68">
        <f>D10+D11-D13-D38</f>
        <v>-18617.599999999999</v>
      </c>
      <c r="E15" s="68">
        <f>E10+E11-E13-E38</f>
        <v>-1938</v>
      </c>
      <c r="F15" s="68">
        <f>F10+F11-F13-F38</f>
        <v>2240.7999999999997</v>
      </c>
      <c r="G15" s="68">
        <f>G10+G11-G13-G38</f>
        <v>4163.6000000000004</v>
      </c>
      <c r="H15" s="68">
        <f>H10+H11-H13-H38</f>
        <v>13249.125448251365</v>
      </c>
      <c r="I15" s="68">
        <f>I10+I11-I13-I38</f>
        <v>47978.988225795372</v>
      </c>
      <c r="J15" s="68">
        <f>J10+J11-J13-J38</f>
        <v>-56733.65404490308</v>
      </c>
      <c r="K15" s="68">
        <f>K10+K11-K13-K38</f>
        <v>41913.954516510348</v>
      </c>
      <c r="L15" s="68">
        <f>L10+L11-L13-L38</f>
        <v>66662.750574124351</v>
      </c>
      <c r="M15" s="68">
        <f>M10+M11-M13-M38</f>
        <v>-10985.888025218543</v>
      </c>
      <c r="N15" s="68">
        <f>N10+N11-N13-N38</f>
        <v>18884.221899627053</v>
      </c>
      <c r="O15" s="68">
        <f>O10+O11-O13-O38</f>
        <v>25041.005602810044</v>
      </c>
      <c r="P15" s="68">
        <f>P10+P11-P13-P38</f>
        <v>17345.033023735836</v>
      </c>
    </row>
    <row r="16" spans="2:16" x14ac:dyDescent="0.2">
      <c r="B16" s="35" t="s">
        <v>82</v>
      </c>
      <c r="C16" s="45"/>
      <c r="D16" s="117"/>
      <c r="E16" s="117"/>
      <c r="F16" s="117"/>
      <c r="G16" s="117"/>
      <c r="H16" s="47">
        <f>(1+C57)^(H5-G5)</f>
        <v>1.1091114214107745</v>
      </c>
      <c r="I16" s="47">
        <f>(1+C57)^(I5-G5)</f>
        <v>1.2301281451038286</v>
      </c>
      <c r="J16" s="47">
        <f>(1+C57)^(J5-G5)</f>
        <v>1.3643491755335069</v>
      </c>
      <c r="K16" s="47">
        <f>(1+C57)^(K5-G5)</f>
        <v>1.5132152533765861</v>
      </c>
      <c r="L16" s="47">
        <f>(1+C57)^(L5-G5)</f>
        <v>1.6783243205729708</v>
      </c>
      <c r="M16" s="47">
        <f>(1+C57)^(M5-G5)</f>
        <v>1.8614486727789599</v>
      </c>
      <c r="N16" s="47">
        <f>(1+C57)^(N5-G5)</f>
        <v>2.064553983349072</v>
      </c>
      <c r="O16" s="47">
        <f>(1+C57)^(O5-G5)</f>
        <v>2.2898204030515656</v>
      </c>
      <c r="P16" s="47">
        <f>(1+C57)^(P5-G5)</f>
        <v>2.5396659620039146</v>
      </c>
    </row>
    <row r="17" spans="2:16" ht="16" thickBot="1" x14ac:dyDescent="0.25">
      <c r="B17" s="36" t="s">
        <v>45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118">
        <f>H15/H16</f>
        <v>11945.711848678522</v>
      </c>
      <c r="I17" s="118">
        <f t="shared" ref="I17:P17" si="11">I15/I16</f>
        <v>39003.244025235857</v>
      </c>
      <c r="J17" s="118">
        <f t="shared" si="11"/>
        <v>-41582.943034152748</v>
      </c>
      <c r="K17" s="118">
        <f t="shared" si="11"/>
        <v>27698.606938427045</v>
      </c>
      <c r="L17" s="118">
        <f t="shared" si="11"/>
        <v>39719.826351182266</v>
      </c>
      <c r="M17" s="118">
        <f t="shared" si="11"/>
        <v>-5901.7947611833379</v>
      </c>
      <c r="N17" s="118">
        <f t="shared" si="11"/>
        <v>9146.87726837421</v>
      </c>
      <c r="O17" s="118">
        <f t="shared" si="11"/>
        <v>10935.794601811893</v>
      </c>
      <c r="P17" s="118">
        <f t="shared" si="11"/>
        <v>6829.6513333784251</v>
      </c>
    </row>
    <row r="18" spans="2:16" ht="16" thickBo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6" ht="14" customHeight="1" x14ac:dyDescent="0.2">
      <c r="B19" s="26" t="s">
        <v>29</v>
      </c>
      <c r="C19" s="16" t="s">
        <v>0</v>
      </c>
      <c r="D19" s="16"/>
      <c r="E19" s="16"/>
      <c r="F19" s="16"/>
      <c r="G19" s="16"/>
      <c r="H19" s="17" t="s">
        <v>1</v>
      </c>
      <c r="I19" s="17"/>
      <c r="J19" s="17"/>
      <c r="K19" s="17"/>
      <c r="L19" s="17"/>
      <c r="M19" s="17"/>
      <c r="N19" s="17"/>
      <c r="O19" s="17"/>
      <c r="P19" s="18"/>
    </row>
    <row r="20" spans="2:16" ht="14" customHeight="1" x14ac:dyDescent="0.2">
      <c r="B20" s="27"/>
      <c r="C20" s="14"/>
      <c r="D20" s="14"/>
      <c r="E20" s="14"/>
      <c r="F20" s="14"/>
      <c r="G20" s="14"/>
      <c r="H20" s="15"/>
      <c r="I20" s="15"/>
      <c r="J20" s="15"/>
      <c r="K20" s="15"/>
      <c r="L20" s="15"/>
      <c r="M20" s="15"/>
      <c r="N20" s="15"/>
      <c r="O20" s="15"/>
      <c r="P20" s="19"/>
    </row>
    <row r="21" spans="2:16" ht="14" customHeight="1" x14ac:dyDescent="0.2">
      <c r="B21" s="27"/>
      <c r="C21" s="14"/>
      <c r="D21" s="14"/>
      <c r="E21" s="14"/>
      <c r="F21" s="14"/>
      <c r="G21" s="14"/>
      <c r="H21" s="15"/>
      <c r="I21" s="15"/>
      <c r="J21" s="15"/>
      <c r="K21" s="15"/>
      <c r="L21" s="15"/>
      <c r="M21" s="15"/>
      <c r="N21" s="15"/>
      <c r="O21" s="15"/>
      <c r="P21" s="19"/>
    </row>
    <row r="22" spans="2:16" ht="16" x14ac:dyDescent="0.2">
      <c r="B22" s="20"/>
      <c r="C22" s="21">
        <v>2019</v>
      </c>
      <c r="D22" s="21">
        <v>2020</v>
      </c>
      <c r="E22" s="21">
        <v>2021</v>
      </c>
      <c r="F22" s="21">
        <f t="shared" ref="F22:M22" si="12">E22+1</f>
        <v>2022</v>
      </c>
      <c r="G22" s="21">
        <f t="shared" si="12"/>
        <v>2023</v>
      </c>
      <c r="H22" s="21">
        <f>G22+1</f>
        <v>2024</v>
      </c>
      <c r="I22" s="21">
        <f t="shared" si="12"/>
        <v>2025</v>
      </c>
      <c r="J22" s="21">
        <f t="shared" si="12"/>
        <v>2026</v>
      </c>
      <c r="K22" s="21">
        <f t="shared" si="12"/>
        <v>2027</v>
      </c>
      <c r="L22" s="21">
        <f t="shared" si="12"/>
        <v>2028</v>
      </c>
      <c r="M22" s="21">
        <f t="shared" si="12"/>
        <v>2029</v>
      </c>
      <c r="N22" s="10">
        <v>2030</v>
      </c>
      <c r="O22" s="10">
        <v>2031</v>
      </c>
      <c r="P22" s="11">
        <v>2032</v>
      </c>
    </row>
    <row r="23" spans="2:16" ht="16" x14ac:dyDescent="0.2">
      <c r="B23" s="29" t="s">
        <v>24</v>
      </c>
      <c r="C23" s="32">
        <v>3266</v>
      </c>
      <c r="D23" s="32">
        <v>1955</v>
      </c>
      <c r="E23" s="32">
        <v>2641</v>
      </c>
      <c r="F23" s="32">
        <v>2517</v>
      </c>
      <c r="G23" s="32">
        <v>2649</v>
      </c>
      <c r="H23" s="28">
        <f>((G23-F23)/2)+G23</f>
        <v>2715</v>
      </c>
      <c r="I23" s="28">
        <f>I24*I6</f>
        <v>2987.0275428033146</v>
      </c>
      <c r="J23" s="28">
        <f>J24*J6</f>
        <v>5373.9406008459382</v>
      </c>
      <c r="K23" s="28">
        <f>K24*K6</f>
        <v>7174.767978132546</v>
      </c>
      <c r="L23" s="28">
        <f>L24*L6</f>
        <v>6185.6152264298489</v>
      </c>
      <c r="M23" s="28">
        <f>M24*M6</f>
        <v>6899.1255898297886</v>
      </c>
      <c r="N23" s="28">
        <f>N24*N6</f>
        <v>7698.4943301631502</v>
      </c>
      <c r="O23" s="28">
        <f>O24*O6</f>
        <v>8087.0026810956415</v>
      </c>
      <c r="P23" s="28">
        <f>P24*P6</f>
        <v>8463.2921173812283</v>
      </c>
    </row>
    <row r="24" spans="2:16" ht="16" x14ac:dyDescent="0.2">
      <c r="B24" s="23" t="s">
        <v>30</v>
      </c>
      <c r="C24" s="102">
        <f>C23/C6</f>
        <v>4.2659909350958085E-2</v>
      </c>
      <c r="D24" s="102">
        <f>D23/D6</f>
        <v>3.3615323773169642E-2</v>
      </c>
      <c r="E24" s="102">
        <f>E23/E6</f>
        <v>4.240118164595575E-2</v>
      </c>
      <c r="F24" s="102">
        <f>F23/F6</f>
        <v>3.7788253663223637E-2</v>
      </c>
      <c r="G24" s="102">
        <f>G23/G6</f>
        <v>3.4051469264981878E-2</v>
      </c>
      <c r="H24" s="102">
        <f>AVERAGE(C24:G24)</f>
        <v>3.8103227539657794E-2</v>
      </c>
      <c r="I24" s="102">
        <f t="shared" ref="I24:P24" si="13">AVERAGE(D24:H24)</f>
        <v>3.719189117739774E-2</v>
      </c>
      <c r="J24" s="102">
        <f t="shared" si="13"/>
        <v>3.7907204658243356E-2</v>
      </c>
      <c r="K24" s="102">
        <f t="shared" si="13"/>
        <v>3.7008409260700877E-2</v>
      </c>
      <c r="L24" s="102">
        <f t="shared" si="13"/>
        <v>3.6852440380196326E-2</v>
      </c>
      <c r="M24" s="102">
        <f t="shared" si="13"/>
        <v>3.7412634603239223E-2</v>
      </c>
      <c r="N24" s="102">
        <f t="shared" si="13"/>
        <v>3.7274516015955508E-2</v>
      </c>
      <c r="O24" s="102">
        <f t="shared" si="13"/>
        <v>3.7291040983667055E-2</v>
      </c>
      <c r="P24" s="102">
        <f t="shared" si="13"/>
        <v>3.7167808248751801E-2</v>
      </c>
    </row>
    <row r="25" spans="2:16" ht="16" x14ac:dyDescent="0.2">
      <c r="B25" s="29" t="s">
        <v>33</v>
      </c>
      <c r="C25" s="32">
        <v>76622</v>
      </c>
      <c r="D25" s="32">
        <v>81715</v>
      </c>
      <c r="E25" s="32">
        <v>78823</v>
      </c>
      <c r="F25" s="32">
        <v>78151</v>
      </c>
      <c r="G25" s="32">
        <v>79741</v>
      </c>
      <c r="H25" s="28">
        <f>H6*H26</f>
        <v>126280.09771314001</v>
      </c>
      <c r="I25" s="28">
        <f>I6*I26</f>
        <v>64251.156867625847</v>
      </c>
      <c r="J25" s="28">
        <f>J6*J26</f>
        <v>102716.83970364423</v>
      </c>
      <c r="K25" s="28">
        <f>K6*K26</f>
        <v>122137.20925917746</v>
      </c>
      <c r="L25" s="28">
        <f>L6*L26</f>
        <v>87281.056140640474</v>
      </c>
      <c r="M25" s="28">
        <f>M6*M26</f>
        <v>85748.930362500905</v>
      </c>
      <c r="N25" s="28">
        <f>N6*N26</f>
        <v>90359.087908871923</v>
      </c>
      <c r="O25" s="28">
        <f>O6*O26</f>
        <v>91895.192403322741</v>
      </c>
      <c r="P25" s="28">
        <f>P6*P26</f>
        <v>91081.96061214291</v>
      </c>
    </row>
    <row r="26" spans="2:16" ht="16" x14ac:dyDescent="0.2">
      <c r="B26" s="23" t="s">
        <v>30</v>
      </c>
      <c r="C26" s="102">
        <f>C25/C6</f>
        <v>1.0008228947609032</v>
      </c>
      <c r="D26" s="102">
        <f>D25/D6</f>
        <v>1.4050517555624333</v>
      </c>
      <c r="E26" s="102">
        <f>E25/E6</f>
        <v>1.2655010756831391</v>
      </c>
      <c r="F26" s="102">
        <f>F25/F6</f>
        <v>1.1732975018015854</v>
      </c>
      <c r="G26" s="102">
        <f>G25/G6</f>
        <v>1.0250276370928348</v>
      </c>
      <c r="H26" s="101">
        <f>((G26-F26)/2)+G26</f>
        <v>0.95089270473845955</v>
      </c>
      <c r="I26" s="101">
        <v>0.8</v>
      </c>
      <c r="J26" s="101">
        <f t="shared" ref="J26:O26" si="14">((I26-H26)/2)+I26</f>
        <v>0.72455364763077035</v>
      </c>
      <c r="K26" s="101">
        <v>0.63</v>
      </c>
      <c r="L26" s="101">
        <v>0.52</v>
      </c>
      <c r="M26" s="101">
        <f t="shared" si="14"/>
        <v>0.46500000000000002</v>
      </c>
      <c r="N26" s="101">
        <f t="shared" si="14"/>
        <v>0.4375</v>
      </c>
      <c r="O26" s="101">
        <f t="shared" si="14"/>
        <v>0.42374999999999996</v>
      </c>
      <c r="P26" s="116">
        <v>0.4</v>
      </c>
    </row>
    <row r="27" spans="2:16" ht="16" x14ac:dyDescent="0.2">
      <c r="B27" s="29" t="s">
        <v>35</v>
      </c>
      <c r="C27" s="32">
        <f>3106 + 86</f>
        <v>3192</v>
      </c>
      <c r="D27" s="32">
        <f>683 + 4286</f>
        <v>4969</v>
      </c>
      <c r="E27" s="32">
        <f>2221+77</f>
        <v>2298</v>
      </c>
      <c r="F27" s="32">
        <f>63+ 2847</f>
        <v>2910</v>
      </c>
      <c r="G27" s="32">
        <f>59+2504</f>
        <v>2563</v>
      </c>
      <c r="H27" s="28">
        <f>H6*H28</f>
        <v>5153.4365709996991</v>
      </c>
      <c r="I27" s="28">
        <f>I6*I28</f>
        <v>4033.3587179202609</v>
      </c>
      <c r="J27" s="28">
        <f>J6*J28</f>
        <v>5630.4273487363535</v>
      </c>
      <c r="K27" s="28">
        <f>K6*K28</f>
        <v>8357.2050243768244</v>
      </c>
      <c r="L27" s="28">
        <f>L6*L28</f>
        <v>6965.2759488283364</v>
      </c>
      <c r="M27" s="28">
        <f>M6*M28</f>
        <v>7520.4121867935391</v>
      </c>
      <c r="N27" s="28">
        <f>N6*N28</f>
        <v>9067.2355114195125</v>
      </c>
      <c r="O27" s="28">
        <f>O6*O28</f>
        <v>8994.1994269653005</v>
      </c>
      <c r="P27" s="28">
        <f>P6*P28</f>
        <v>9635.6370293729178</v>
      </c>
    </row>
    <row r="28" spans="2:16" ht="16" x14ac:dyDescent="0.2">
      <c r="B28" s="23" t="s">
        <v>30</v>
      </c>
      <c r="C28" s="102">
        <f>C27/C6</f>
        <v>4.1693334552436685E-2</v>
      </c>
      <c r="D28" s="102">
        <f>D27/D6</f>
        <v>8.5439664362598436E-2</v>
      </c>
      <c r="E28" s="102">
        <f>E27/E6</f>
        <v>3.6894326172815718E-2</v>
      </c>
      <c r="F28" s="102">
        <f>F27/F6</f>
        <v>4.3688445832332452E-2</v>
      </c>
      <c r="G28" s="102">
        <f>G27/G6</f>
        <v>3.2945985551584955E-2</v>
      </c>
      <c r="H28" s="102">
        <f>AVERAGE(C28,E28,F28,G28)</f>
        <v>3.8805523027292455E-2</v>
      </c>
      <c r="I28" s="102">
        <f t="shared" ref="I28:P28" si="15">AVERAGE(D28,F28,G28,H28)</f>
        <v>5.0219904693452076E-2</v>
      </c>
      <c r="J28" s="102">
        <f t="shared" si="15"/>
        <v>3.9716434861286301E-2</v>
      </c>
      <c r="K28" s="102">
        <f t="shared" si="15"/>
        <v>4.3107577103590825E-2</v>
      </c>
      <c r="L28" s="102">
        <f t="shared" si="15"/>
        <v>4.1497475552478541E-2</v>
      </c>
      <c r="M28" s="102">
        <f t="shared" si="15"/>
        <v>4.078175263616203E-2</v>
      </c>
      <c r="N28" s="102">
        <f t="shared" si="15"/>
        <v>4.3901677496420863E-2</v>
      </c>
      <c r="O28" s="102">
        <f t="shared" si="15"/>
        <v>4.1474335136586937E-2</v>
      </c>
      <c r="P28" s="102">
        <f t="shared" si="15"/>
        <v>4.231633559319016E-2</v>
      </c>
    </row>
    <row r="29" spans="2:16" ht="16" x14ac:dyDescent="0.2">
      <c r="B29" s="33" t="s">
        <v>25</v>
      </c>
      <c r="C29" s="32">
        <v>15553</v>
      </c>
      <c r="D29" s="32">
        <v>12928</v>
      </c>
      <c r="E29" s="32">
        <v>9261</v>
      </c>
      <c r="F29" s="32">
        <v>10200</v>
      </c>
      <c r="G29" s="32">
        <v>11964</v>
      </c>
      <c r="H29" s="32">
        <f>H6*H30</f>
        <v>20168.611204600013</v>
      </c>
      <c r="I29" s="32">
        <f>I6*I30</f>
        <v>12282.565756576429</v>
      </c>
      <c r="J29" s="32">
        <f>J6*J30</f>
        <v>21670.911749997824</v>
      </c>
      <c r="K29" s="32">
        <f>K6*K30</f>
        <v>29575.714767446618</v>
      </c>
      <c r="L29" s="32">
        <f>L6*L30</f>
        <v>25644.500206360211</v>
      </c>
      <c r="M29" s="32">
        <f>M6*M30</f>
        <v>28165.215414574977</v>
      </c>
      <c r="N29" s="32">
        <f>N6*N30</f>
        <v>31536.109087379435</v>
      </c>
      <c r="O29" s="32">
        <f>O6*O30</f>
        <v>33122.733665944303</v>
      </c>
      <c r="P29" s="32">
        <f>P6*P30</f>
        <v>34775.279537331509</v>
      </c>
    </row>
    <row r="30" spans="2:16" ht="16" x14ac:dyDescent="0.2">
      <c r="B30" s="24" t="s">
        <v>30</v>
      </c>
      <c r="C30" s="102">
        <f>C29/C6</f>
        <v>0.2031505113703157</v>
      </c>
      <c r="D30" s="102">
        <f>D29/D6</f>
        <v>0.22229100037827987</v>
      </c>
      <c r="E30" s="102">
        <f>E29/E6</f>
        <v>0.14868509777478084</v>
      </c>
      <c r="F30" s="102">
        <f>F29/F6</f>
        <v>0.15313475858755704</v>
      </c>
      <c r="G30" s="102">
        <f>G29/G6</f>
        <v>0.15379078078000874</v>
      </c>
      <c r="H30" s="102">
        <f>AVERAGE(E30:G30)</f>
        <v>0.15187021238078222</v>
      </c>
      <c r="I30" s="102">
        <f t="shared" ref="I30:P30" si="16">AVERAGE(F30:H30)</f>
        <v>0.15293191724944932</v>
      </c>
      <c r="J30" s="102">
        <f t="shared" si="16"/>
        <v>0.15286430347008009</v>
      </c>
      <c r="K30" s="102">
        <f t="shared" si="16"/>
        <v>0.15255547770010389</v>
      </c>
      <c r="L30" s="102">
        <f t="shared" si="16"/>
        <v>0.15278389947321111</v>
      </c>
      <c r="M30" s="102">
        <f t="shared" si="16"/>
        <v>0.15273456021446505</v>
      </c>
      <c r="N30" s="102">
        <f t="shared" si="16"/>
        <v>0.15269131246259335</v>
      </c>
      <c r="O30" s="102">
        <f t="shared" si="16"/>
        <v>0.15273659071675649</v>
      </c>
      <c r="P30" s="102">
        <f t="shared" si="16"/>
        <v>0.15272082113127164</v>
      </c>
    </row>
    <row r="31" spans="2:16" ht="16" x14ac:dyDescent="0.2">
      <c r="B31" s="33" t="s">
        <v>36</v>
      </c>
      <c r="C31" s="32">
        <v>22868</v>
      </c>
      <c r="D31" s="32">
        <v>22171</v>
      </c>
      <c r="E31" s="32">
        <v>18455</v>
      </c>
      <c r="F31" s="32">
        <v>21581</v>
      </c>
      <c r="G31" s="32">
        <v>22331</v>
      </c>
      <c r="H31" s="32">
        <f>H6*H32</f>
        <v>40041.196161297565</v>
      </c>
      <c r="I31" s="32">
        <f>I6*H32</f>
        <v>24215.565404121691</v>
      </c>
      <c r="J31" s="32">
        <f>J6*I32</f>
        <v>45853.56193573917</v>
      </c>
      <c r="K31" s="32">
        <f>K6*J32</f>
        <v>58563.09450135292</v>
      </c>
      <c r="L31" s="32">
        <f>L6*K32</f>
        <v>52495.94007528924</v>
      </c>
      <c r="M31" s="32">
        <f>M6*L32</f>
        <v>56489.820257003397</v>
      </c>
      <c r="N31" s="32">
        <f>N6*M32</f>
        <v>63131.545587000946</v>
      </c>
      <c r="O31" s="32">
        <f>O6*N32</f>
        <v>67672.15851055416</v>
      </c>
      <c r="P31" s="32">
        <f>P6*O32</f>
        <v>69799.041774806145</v>
      </c>
    </row>
    <row r="32" spans="2:16" ht="16" x14ac:dyDescent="0.2">
      <c r="B32" s="24" t="s">
        <v>30</v>
      </c>
      <c r="C32" s="102">
        <f>C31/C6</f>
        <v>0.29869773638631641</v>
      </c>
      <c r="D32" s="102">
        <f>D31/D6</f>
        <v>0.38122012448846249</v>
      </c>
      <c r="E32" s="102">
        <f>E31/E6</f>
        <v>0.29629451241049354</v>
      </c>
      <c r="F32" s="102">
        <f>F31/F6</f>
        <v>0.32400012010569301</v>
      </c>
      <c r="G32" s="102">
        <f>G31/G6</f>
        <v>0.28705298609147234</v>
      </c>
      <c r="H32" s="102">
        <f>AVERAGE(E32:G32,C32)</f>
        <v>0.30151133874849384</v>
      </c>
      <c r="I32" s="102">
        <f t="shared" ref="I32:P32" si="17">AVERAGE(F32:H32,D32)</f>
        <v>0.32344614235853042</v>
      </c>
      <c r="J32" s="102">
        <f t="shared" si="17"/>
        <v>0.30207624490224749</v>
      </c>
      <c r="K32" s="102">
        <f t="shared" si="17"/>
        <v>0.31275846152874121</v>
      </c>
      <c r="L32" s="102">
        <f t="shared" si="17"/>
        <v>0.30633345872024786</v>
      </c>
      <c r="M32" s="102">
        <f t="shared" si="17"/>
        <v>0.30566987597493261</v>
      </c>
      <c r="N32" s="102">
        <f t="shared" si="17"/>
        <v>0.31205198464561301</v>
      </c>
      <c r="O32" s="102">
        <f t="shared" si="17"/>
        <v>0.30653289106076026</v>
      </c>
      <c r="P32" s="102">
        <f t="shared" si="17"/>
        <v>0.30925330330251177</v>
      </c>
    </row>
    <row r="33" spans="2:16" ht="16" x14ac:dyDescent="0.2">
      <c r="B33" s="33" t="s">
        <v>38</v>
      </c>
      <c r="C33" s="32">
        <v>51551</v>
      </c>
      <c r="D33" s="32">
        <v>50488</v>
      </c>
      <c r="E33" s="32">
        <v>52980</v>
      </c>
      <c r="F33" s="32">
        <v>53018</v>
      </c>
      <c r="G33" s="32">
        <v>56328</v>
      </c>
      <c r="H33" s="32">
        <f>H6*G34</f>
        <v>96157.158796102245</v>
      </c>
      <c r="I33" s="32">
        <f>H6*I34</f>
        <v>106803.4839429219</v>
      </c>
      <c r="J33" s="32">
        <f>I6*J34</f>
        <v>63564.980691675963</v>
      </c>
      <c r="K33" s="32">
        <f>J6*K34</f>
        <v>110524.64936969308</v>
      </c>
      <c r="L33" s="32">
        <f>K6*L34</f>
        <v>150511.97755081893</v>
      </c>
      <c r="M33" s="32">
        <f>L6*M34</f>
        <v>132066.27160878302</v>
      </c>
      <c r="N33" s="32">
        <f>M6*N34</f>
        <v>145256.81808066595</v>
      </c>
      <c r="O33" s="32">
        <f>N6*O34</f>
        <v>162004.69119387452</v>
      </c>
      <c r="P33" s="32">
        <f>O6*P34</f>
        <v>169798.58047208298</v>
      </c>
    </row>
    <row r="34" spans="2:16" ht="16" x14ac:dyDescent="0.2">
      <c r="B34" s="24" t="s">
        <v>30</v>
      </c>
      <c r="C34" s="102">
        <f>C33/C6</f>
        <v>0.67334996538617276</v>
      </c>
      <c r="D34" s="102">
        <f>D33/D6</f>
        <v>0.86811788575948279</v>
      </c>
      <c r="E34" s="102">
        <f>E33/E6</f>
        <v>0.85059242847509875</v>
      </c>
      <c r="F34" s="102">
        <f>F33/F6</f>
        <v>0.7959704539995196</v>
      </c>
      <c r="G34" s="102">
        <f>G33/G6</f>
        <v>0.72406612335141529</v>
      </c>
      <c r="H34" s="102">
        <f>AVERAGE(C34:G34)</f>
        <v>0.78241937139433793</v>
      </c>
      <c r="I34" s="102">
        <f t="shared" ref="I34:P34" si="18">AVERAGE(D34:H34)</f>
        <v>0.804233252595971</v>
      </c>
      <c r="J34" s="102">
        <f t="shared" si="18"/>
        <v>0.79145632596326843</v>
      </c>
      <c r="K34" s="102">
        <f t="shared" si="18"/>
        <v>0.77962910546090236</v>
      </c>
      <c r="L34" s="102">
        <f t="shared" si="18"/>
        <v>0.77636083575317905</v>
      </c>
      <c r="M34" s="102">
        <f t="shared" si="18"/>
        <v>0.78681977823353166</v>
      </c>
      <c r="N34" s="102">
        <f t="shared" si="18"/>
        <v>0.78769985960137057</v>
      </c>
      <c r="O34" s="102">
        <f t="shared" si="18"/>
        <v>0.78439318100245037</v>
      </c>
      <c r="P34" s="102">
        <f t="shared" si="18"/>
        <v>0.78298055201028682</v>
      </c>
    </row>
    <row r="35" spans="2:16" ht="16" x14ac:dyDescent="0.2">
      <c r="B35" s="33" t="s">
        <v>37</v>
      </c>
      <c r="C35" s="32">
        <v>413</v>
      </c>
      <c r="D35" s="32">
        <v>1010</v>
      </c>
      <c r="E35" s="32">
        <v>218</v>
      </c>
      <c r="F35" s="32">
        <v>230</v>
      </c>
      <c r="G35" s="32">
        <v>229</v>
      </c>
      <c r="H35" s="32">
        <f>H6*H36</f>
        <v>507.67494345539853</v>
      </c>
      <c r="I35" s="32">
        <f>I6*I36</f>
        <v>553.88515927566687</v>
      </c>
      <c r="J35" s="32">
        <f>J6*J36</f>
        <v>608.2797659038439</v>
      </c>
      <c r="K35" s="32">
        <f>K6*K36</f>
        <v>894.85311427401859</v>
      </c>
      <c r="L35" s="32">
        <f>L6*L36</f>
        <v>786.64923771130964</v>
      </c>
      <c r="M35" s="32">
        <f>M6*M36</f>
        <v>802.90458009332735</v>
      </c>
      <c r="N35" s="32">
        <f>N6*N36</f>
        <v>1061.2256948237882</v>
      </c>
      <c r="O35" s="32">
        <f>O6*O36</f>
        <v>1001.3401359868009</v>
      </c>
      <c r="P35" s="32">
        <f>P6*P36</f>
        <v>1065.9672162122654</v>
      </c>
    </row>
    <row r="36" spans="2:16" ht="16" x14ac:dyDescent="0.2">
      <c r="B36" s="24" t="s">
        <v>31</v>
      </c>
      <c r="C36" s="102">
        <f>C35/C6</f>
        <v>5.3945323214775534E-3</v>
      </c>
      <c r="D36" s="102">
        <f>D35/D6</f>
        <v>1.7366484404553115E-2</v>
      </c>
      <c r="E36" s="102">
        <f>E35/E6</f>
        <v>3.4999839450277751E-3</v>
      </c>
      <c r="F36" s="102">
        <f>F35/F6</f>
        <v>3.453038674033149E-3</v>
      </c>
      <c r="G36" s="102">
        <f>G35/G6</f>
        <v>2.9436717484638917E-3</v>
      </c>
      <c r="H36" s="103">
        <f>AVERAGE(C36,E36:G36)</f>
        <v>3.8228066722505922E-3</v>
      </c>
      <c r="I36" s="103">
        <f t="shared" ref="I36:P36" si="19">AVERAGE(D36,F36:H36)</f>
        <v>6.8965003748251864E-3</v>
      </c>
      <c r="J36" s="103">
        <f t="shared" si="19"/>
        <v>4.2907406851418611E-3</v>
      </c>
      <c r="K36" s="103">
        <f t="shared" si="19"/>
        <v>4.6157716015626966E-3</v>
      </c>
      <c r="L36" s="103">
        <f t="shared" si="19"/>
        <v>4.686671102498409E-3</v>
      </c>
      <c r="M36" s="103">
        <f t="shared" si="19"/>
        <v>4.3539975153633892E-3</v>
      </c>
      <c r="N36" s="103">
        <f t="shared" si="19"/>
        <v>5.1382351485624207E-3</v>
      </c>
      <c r="O36" s="103">
        <f t="shared" si="19"/>
        <v>4.61741111289152E-3</v>
      </c>
      <c r="P36" s="103">
        <f t="shared" si="19"/>
        <v>4.6813538445950069E-3</v>
      </c>
    </row>
    <row r="37" spans="2:16" ht="16" x14ac:dyDescent="0.2">
      <c r="B37" s="37" t="s">
        <v>26</v>
      </c>
      <c r="C37" s="28">
        <f>SUM(C23,C25,C27)-SUM(C29,C31,C33,C35)</f>
        <v>-7305</v>
      </c>
      <c r="D37" s="28">
        <f>SUM(D23,D25,D27)-SUM(D29,D31,D33,D35)</f>
        <v>2042</v>
      </c>
      <c r="E37" s="28">
        <f>SUM(E23,E25,E27)-SUM(E29,E31,E33,E35)</f>
        <v>2848</v>
      </c>
      <c r="F37" s="28">
        <f>SUM(F23,F25,F27)-SUM(F29,F31,F33,F35)</f>
        <v>-1451</v>
      </c>
      <c r="G37" s="28">
        <f>SUM(G23,G25,G27)-SUM(G29,G31,G33,G35)</f>
        <v>-5899</v>
      </c>
      <c r="H37" s="28">
        <f>SUM(H23,H25,H27)-SUM(H29,H31,H33,H35)</f>
        <v>-22726.106821315509</v>
      </c>
      <c r="I37" s="28">
        <f>SUM(I23,I25,I27)-SUM(I29,I31,I33,I35)</f>
        <v>-72583.957134546261</v>
      </c>
      <c r="J37" s="28">
        <f>SUM(J23,J25,J27)-SUM(J29,J31,J33,J35)</f>
        <v>-17976.526490090284</v>
      </c>
      <c r="K37" s="28">
        <f>SUM(K23,K25,K27)-SUM(K29,K31,K33,K35)</f>
        <v>-61889.129491079802</v>
      </c>
      <c r="L37" s="28">
        <f>SUM(L23,L25,L27)-SUM(L29,L31,L33,L35)</f>
        <v>-129007.11975428106</v>
      </c>
      <c r="M37" s="28">
        <f>SUM(M23,M25,M27)-SUM(M29,M31,M33,M35)</f>
        <v>-117355.74372133051</v>
      </c>
      <c r="N37" s="28">
        <f>SUM(N23,N25,N27)-SUM(N29,N31,N33,N35)</f>
        <v>-133860.88069941552</v>
      </c>
      <c r="O37" s="28">
        <f>SUM(O23,O25,O27)-SUM(O29,O31,O33,O35)</f>
        <v>-154824.52899497611</v>
      </c>
      <c r="P37" s="28">
        <f>SUM(P23,P25,P27)-SUM(P29,P31,P33,P35)</f>
        <v>-166257.9792415358</v>
      </c>
    </row>
    <row r="38" spans="2:16" ht="17" thickBot="1" x14ac:dyDescent="0.25">
      <c r="B38" s="38" t="s">
        <v>32</v>
      </c>
      <c r="C38" s="25"/>
      <c r="D38" s="115">
        <f>D37-C37</f>
        <v>9347</v>
      </c>
      <c r="E38" s="115">
        <f t="shared" ref="E38:O38" si="20">E37-D37</f>
        <v>806</v>
      </c>
      <c r="F38" s="115">
        <f t="shared" si="20"/>
        <v>-4299</v>
      </c>
      <c r="G38" s="115">
        <f t="shared" si="20"/>
        <v>-4448</v>
      </c>
      <c r="H38" s="115">
        <f t="shared" si="20"/>
        <v>-16827.106821315509</v>
      </c>
      <c r="I38" s="115">
        <f t="shared" si="20"/>
        <v>-49857.850313230752</v>
      </c>
      <c r="J38" s="115">
        <f>J37-I37</f>
        <v>54607.430644455977</v>
      </c>
      <c r="K38" s="115">
        <f t="shared" si="20"/>
        <v>-43912.603000989518</v>
      </c>
      <c r="L38" s="115">
        <f t="shared" si="20"/>
        <v>-67117.990263201253</v>
      </c>
      <c r="M38" s="115">
        <f t="shared" si="20"/>
        <v>11651.376032950546</v>
      </c>
      <c r="N38" s="115">
        <f t="shared" si="20"/>
        <v>-16505.136978085007</v>
      </c>
      <c r="O38" s="115">
        <f t="shared" si="20"/>
        <v>-20963.64829556059</v>
      </c>
      <c r="P38" s="115">
        <f>P37-O37</f>
        <v>-11433.450246559689</v>
      </c>
    </row>
    <row r="40" spans="2:16" ht="16" thickBot="1" x14ac:dyDescent="0.25"/>
    <row r="41" spans="2:16" ht="16" thickBot="1" x14ac:dyDescent="0.25">
      <c r="B41" s="104" t="s">
        <v>81</v>
      </c>
      <c r="C41" s="105"/>
    </row>
    <row r="42" spans="2:16" x14ac:dyDescent="0.2">
      <c r="B42" s="35" t="s">
        <v>2</v>
      </c>
      <c r="C42" s="106">
        <v>178.51</v>
      </c>
    </row>
    <row r="43" spans="2:16" x14ac:dyDescent="0.2">
      <c r="B43" s="35" t="s">
        <v>3</v>
      </c>
      <c r="C43" s="107">
        <v>613.88</v>
      </c>
    </row>
    <row r="44" spans="2:16" x14ac:dyDescent="0.2">
      <c r="B44" s="35" t="s">
        <v>4</v>
      </c>
      <c r="C44" s="107">
        <f>C42*C43</f>
        <v>109583.71879999999</v>
      </c>
    </row>
    <row r="45" spans="2:16" x14ac:dyDescent="0.2">
      <c r="B45" s="35" t="s">
        <v>5</v>
      </c>
      <c r="C45" s="107">
        <v>52307</v>
      </c>
    </row>
    <row r="46" spans="2:16" x14ac:dyDescent="0.2">
      <c r="B46" s="35" t="s">
        <v>6</v>
      </c>
      <c r="C46" s="73">
        <f>C44/(C44+C45)</f>
        <v>0.67689932821522569</v>
      </c>
    </row>
    <row r="47" spans="2:16" x14ac:dyDescent="0.2">
      <c r="B47" s="35" t="s">
        <v>7</v>
      </c>
      <c r="C47" s="73">
        <f>1-C46</f>
        <v>0.32310067178477431</v>
      </c>
    </row>
    <row r="48" spans="2:16" x14ac:dyDescent="0.2">
      <c r="B48" s="35"/>
      <c r="C48" s="12"/>
    </row>
    <row r="49" spans="2:3" x14ac:dyDescent="0.2">
      <c r="B49" s="35" t="s">
        <v>8</v>
      </c>
      <c r="C49" s="108">
        <v>4.3099999999999999E-2</v>
      </c>
    </row>
    <row r="50" spans="2:3" x14ac:dyDescent="0.2">
      <c r="B50" s="35" t="s">
        <v>9</v>
      </c>
      <c r="C50" s="109">
        <v>1.65</v>
      </c>
    </row>
    <row r="51" spans="2:3" x14ac:dyDescent="0.2">
      <c r="B51" s="35" t="s">
        <v>10</v>
      </c>
      <c r="C51" s="108">
        <v>0.06</v>
      </c>
    </row>
    <row r="52" spans="2:3" x14ac:dyDescent="0.2">
      <c r="B52" s="35" t="s">
        <v>11</v>
      </c>
      <c r="C52" s="108">
        <f>C49+C50*C51</f>
        <v>0.1421</v>
      </c>
    </row>
    <row r="53" spans="2:3" x14ac:dyDescent="0.2">
      <c r="B53" s="35"/>
      <c r="C53" s="12"/>
    </row>
    <row r="54" spans="2:3" x14ac:dyDescent="0.2">
      <c r="B54" s="35" t="s">
        <v>12</v>
      </c>
      <c r="C54" s="108">
        <v>0.05</v>
      </c>
    </row>
    <row r="55" spans="2:3" x14ac:dyDescent="0.2">
      <c r="B55" s="35" t="s">
        <v>13</v>
      </c>
      <c r="C55" s="108">
        <v>0.2</v>
      </c>
    </row>
    <row r="56" spans="2:3" ht="15" customHeight="1" x14ac:dyDescent="0.2">
      <c r="B56" s="35"/>
      <c r="C56" s="12"/>
    </row>
    <row r="57" spans="2:3" ht="14" customHeight="1" x14ac:dyDescent="0.2">
      <c r="B57" s="110" t="s">
        <v>14</v>
      </c>
      <c r="C57" s="111">
        <f>C52*C46+C54*(1-C55)*C47</f>
        <v>0.10911142141077455</v>
      </c>
    </row>
    <row r="58" spans="2:3" ht="14" customHeight="1" thickBot="1" x14ac:dyDescent="0.25">
      <c r="B58" s="36"/>
      <c r="C58" s="13"/>
    </row>
    <row r="59" spans="2:3" ht="14" customHeight="1" x14ac:dyDescent="0.2"/>
    <row r="60" spans="2:3" ht="14" customHeight="1" thickBot="1" x14ac:dyDescent="0.25"/>
    <row r="61" spans="2:3" ht="14" customHeight="1" thickBot="1" x14ac:dyDescent="0.25">
      <c r="B61" s="104" t="s">
        <v>15</v>
      </c>
      <c r="C61" s="105"/>
    </row>
    <row r="62" spans="2:3" ht="14" customHeight="1" x14ac:dyDescent="0.2">
      <c r="B62" s="35" t="s">
        <v>16</v>
      </c>
      <c r="C62" s="108">
        <v>0.05</v>
      </c>
    </row>
    <row r="63" spans="2:3" ht="14" customHeight="1" x14ac:dyDescent="0.2">
      <c r="B63" s="35" t="s">
        <v>17</v>
      </c>
      <c r="C63" s="107">
        <v>22747</v>
      </c>
    </row>
    <row r="64" spans="2:3" ht="14" customHeight="1" x14ac:dyDescent="0.2">
      <c r="B64" s="35" t="s">
        <v>18</v>
      </c>
      <c r="C64" s="107">
        <f>C63/(1+C57)^13</f>
        <v>5918.9792691135553</v>
      </c>
    </row>
    <row r="65" spans="1:4" ht="14" customHeight="1" x14ac:dyDescent="0.2">
      <c r="B65" s="35" t="s">
        <v>27</v>
      </c>
      <c r="C65" s="107">
        <f>SUM(H17:P17)</f>
        <v>97794.974571752144</v>
      </c>
    </row>
    <row r="66" spans="1:4" ht="14" customHeight="1" x14ac:dyDescent="0.2">
      <c r="B66" s="35" t="s">
        <v>19</v>
      </c>
      <c r="C66" s="107">
        <f>SUM(C64:C65)</f>
        <v>103713.9538408657</v>
      </c>
    </row>
    <row r="67" spans="1:4" ht="14" customHeight="1" x14ac:dyDescent="0.2">
      <c r="B67" s="35"/>
      <c r="C67" s="12"/>
    </row>
    <row r="68" spans="1:4" ht="15" customHeight="1" x14ac:dyDescent="0.2">
      <c r="B68" s="35" t="s">
        <v>20</v>
      </c>
      <c r="C68" s="107">
        <f>C66-C$52</f>
        <v>103713.8117408657</v>
      </c>
    </row>
    <row r="69" spans="1:4" x14ac:dyDescent="0.2">
      <c r="B69" s="35" t="s">
        <v>3</v>
      </c>
      <c r="C69" s="107">
        <v>614</v>
      </c>
    </row>
    <row r="70" spans="1:4" x14ac:dyDescent="0.2">
      <c r="B70" s="35"/>
      <c r="C70" s="12"/>
    </row>
    <row r="71" spans="1:4" x14ac:dyDescent="0.2">
      <c r="B71" s="110" t="s">
        <v>21</v>
      </c>
      <c r="C71" s="112">
        <f>C68/C69</f>
        <v>168.91500283528615</v>
      </c>
    </row>
    <row r="72" spans="1:4" x14ac:dyDescent="0.2">
      <c r="B72" s="35" t="s">
        <v>22</v>
      </c>
      <c r="C72" s="113">
        <f>(C71-C42)/C42</f>
        <v>-5.3750474285551769E-2</v>
      </c>
    </row>
    <row r="73" spans="1:4" ht="16" thickBot="1" x14ac:dyDescent="0.25">
      <c r="B73" s="36"/>
      <c r="C73" s="13"/>
    </row>
    <row r="75" spans="1:4" x14ac:dyDescent="0.2">
      <c r="A75" s="64"/>
      <c r="B75" s="64"/>
      <c r="C75" s="64"/>
      <c r="D75" s="64"/>
    </row>
    <row r="76" spans="1:4" x14ac:dyDescent="0.2">
      <c r="A76" s="64"/>
      <c r="B76" s="119"/>
      <c r="C76" s="119"/>
      <c r="D76" s="64"/>
    </row>
    <row r="77" spans="1:4" x14ac:dyDescent="0.2">
      <c r="A77" s="64"/>
      <c r="B77" s="64"/>
      <c r="C77" s="120"/>
      <c r="D77" s="64"/>
    </row>
    <row r="78" spans="1:4" x14ac:dyDescent="0.2">
      <c r="A78" s="64"/>
      <c r="B78" s="64"/>
      <c r="C78" s="121"/>
      <c r="D78" s="64"/>
    </row>
    <row r="79" spans="1:4" x14ac:dyDescent="0.2">
      <c r="A79" s="64"/>
      <c r="B79" s="64"/>
      <c r="C79" s="121"/>
      <c r="D79" s="64"/>
    </row>
    <row r="80" spans="1:4" x14ac:dyDescent="0.2">
      <c r="A80" s="64"/>
      <c r="B80" s="64"/>
      <c r="C80" s="121"/>
      <c r="D80" s="64"/>
    </row>
    <row r="81" spans="1:4" x14ac:dyDescent="0.2">
      <c r="A81" s="64"/>
      <c r="B81" s="64"/>
      <c r="C81" s="121"/>
      <c r="D81" s="64"/>
    </row>
    <row r="82" spans="1:4" x14ac:dyDescent="0.2">
      <c r="A82" s="64"/>
      <c r="B82" s="64"/>
      <c r="C82" s="64"/>
      <c r="D82" s="64"/>
    </row>
    <row r="83" spans="1:4" x14ac:dyDescent="0.2">
      <c r="A83" s="64"/>
      <c r="B83" s="64"/>
      <c r="C83" s="121"/>
      <c r="D83" s="64"/>
    </row>
    <row r="84" spans="1:4" x14ac:dyDescent="0.2">
      <c r="A84" s="64"/>
      <c r="B84" s="64"/>
      <c r="C84" s="121"/>
      <c r="D84" s="64"/>
    </row>
    <row r="85" spans="1:4" x14ac:dyDescent="0.2">
      <c r="A85" s="64"/>
      <c r="B85" s="64"/>
      <c r="C85" s="64"/>
      <c r="D85" s="64"/>
    </row>
    <row r="86" spans="1:4" x14ac:dyDescent="0.2">
      <c r="A86" s="64"/>
      <c r="B86" s="122"/>
      <c r="C86" s="123"/>
      <c r="D86" s="64"/>
    </row>
    <row r="87" spans="1:4" x14ac:dyDescent="0.2">
      <c r="A87" s="64"/>
      <c r="B87" s="64"/>
      <c r="C87" s="124"/>
      <c r="D87" s="64"/>
    </row>
    <row r="88" spans="1:4" x14ac:dyDescent="0.2">
      <c r="A88" s="64"/>
      <c r="B88" s="64"/>
      <c r="C88" s="64"/>
      <c r="D88" s="64"/>
    </row>
    <row r="89" spans="1:4" x14ac:dyDescent="0.2">
      <c r="A89" s="64"/>
      <c r="B89" s="64"/>
      <c r="C89" s="64"/>
      <c r="D89" s="64"/>
    </row>
  </sheetData>
  <mergeCells count="9">
    <mergeCell ref="B19:B21"/>
    <mergeCell ref="C19:G21"/>
    <mergeCell ref="H19:P21"/>
    <mergeCell ref="B2:B4"/>
    <mergeCell ref="C2:G4"/>
    <mergeCell ref="B41:C41"/>
    <mergeCell ref="B61:C61"/>
    <mergeCell ref="B76:C76"/>
    <mergeCell ref="H2: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DA02-CD88-3643-9EF8-64C1B3D08F73}">
  <sheetPr>
    <tabColor rgb="FF00B050"/>
  </sheetPr>
  <dimension ref="B1:T56"/>
  <sheetViews>
    <sheetView zoomScale="125" workbookViewId="0">
      <pane xSplit="7" topLeftCell="H1" activePane="topRight" state="frozen"/>
      <selection pane="topRight" activeCell="M24" sqref="M24"/>
    </sheetView>
  </sheetViews>
  <sheetFormatPr baseColWidth="10" defaultRowHeight="15" x14ac:dyDescent="0.2"/>
  <cols>
    <col min="1" max="1" width="10.83203125" style="1"/>
    <col min="2" max="2" width="48.33203125" style="1" customWidth="1"/>
    <col min="3" max="3" width="13.83203125" style="1" customWidth="1"/>
    <col min="4" max="4" width="12.83203125" style="1" customWidth="1"/>
    <col min="5" max="7" width="12.1640625" style="1" bestFit="1" customWidth="1"/>
    <col min="8" max="12" width="11" style="1" bestFit="1" customWidth="1"/>
    <col min="13" max="13" width="11.5" style="1" bestFit="1" customWidth="1"/>
    <col min="14" max="16384" width="10.83203125" style="1"/>
  </cols>
  <sheetData>
    <row r="1" spans="2:20" ht="16" thickBot="1" x14ac:dyDescent="0.25"/>
    <row r="2" spans="2:20" ht="15" customHeight="1" x14ac:dyDescent="0.2">
      <c r="B2" s="26" t="s">
        <v>29</v>
      </c>
      <c r="C2" s="16" t="s">
        <v>0</v>
      </c>
      <c r="D2" s="16"/>
      <c r="E2" s="16"/>
      <c r="F2" s="16"/>
      <c r="G2" s="16"/>
      <c r="H2" s="17" t="s">
        <v>1</v>
      </c>
      <c r="I2" s="17"/>
      <c r="J2" s="17"/>
      <c r="K2" s="17"/>
      <c r="L2" s="17"/>
      <c r="M2" s="18"/>
      <c r="N2" s="9"/>
      <c r="O2" s="9"/>
      <c r="P2" s="9"/>
      <c r="Q2" s="9"/>
      <c r="R2" s="9"/>
      <c r="S2" s="9"/>
      <c r="T2" s="9"/>
    </row>
    <row r="3" spans="2:20" ht="16" customHeight="1" x14ac:dyDescent="0.2">
      <c r="B3" s="27"/>
      <c r="C3" s="14"/>
      <c r="D3" s="14"/>
      <c r="E3" s="14"/>
      <c r="F3" s="14"/>
      <c r="G3" s="14"/>
      <c r="H3" s="15"/>
      <c r="I3" s="15"/>
      <c r="J3" s="15"/>
      <c r="K3" s="15"/>
      <c r="L3" s="15"/>
      <c r="M3" s="19"/>
      <c r="N3" s="9"/>
      <c r="O3" s="9"/>
      <c r="P3" s="9"/>
      <c r="Q3" s="9"/>
      <c r="R3" s="9"/>
      <c r="S3" s="9"/>
      <c r="T3" s="9"/>
    </row>
    <row r="4" spans="2:20" ht="16" customHeight="1" x14ac:dyDescent="0.2">
      <c r="B4" s="27"/>
      <c r="C4" s="14"/>
      <c r="D4" s="14"/>
      <c r="E4" s="14"/>
      <c r="F4" s="14"/>
      <c r="G4" s="14"/>
      <c r="H4" s="15"/>
      <c r="I4" s="15"/>
      <c r="J4" s="15"/>
      <c r="K4" s="15"/>
      <c r="L4" s="15"/>
      <c r="M4" s="19"/>
      <c r="N4" s="9"/>
      <c r="O4" s="9"/>
      <c r="P4" s="9"/>
      <c r="Q4" s="9"/>
      <c r="R4" s="9"/>
      <c r="S4" s="9"/>
      <c r="T4" s="9"/>
    </row>
    <row r="5" spans="2:20" ht="16" x14ac:dyDescent="0.2">
      <c r="B5" s="20" t="s">
        <v>72</v>
      </c>
      <c r="C5" s="21">
        <v>2019</v>
      </c>
      <c r="D5" s="21">
        <v>2020</v>
      </c>
      <c r="E5" s="21">
        <v>2021</v>
      </c>
      <c r="F5" s="21">
        <f t="shared" ref="F5:M5" si="0">E5+1</f>
        <v>2022</v>
      </c>
      <c r="G5" s="21">
        <f t="shared" si="0"/>
        <v>2023</v>
      </c>
      <c r="H5" s="21">
        <f>G5+1</f>
        <v>2024</v>
      </c>
      <c r="I5" s="21">
        <f t="shared" si="0"/>
        <v>2025</v>
      </c>
      <c r="J5" s="21">
        <f t="shared" si="0"/>
        <v>2026</v>
      </c>
      <c r="K5" s="21">
        <f t="shared" si="0"/>
        <v>2027</v>
      </c>
      <c r="L5" s="21">
        <f t="shared" si="0"/>
        <v>2028</v>
      </c>
      <c r="M5" s="22">
        <f t="shared" si="0"/>
        <v>2029</v>
      </c>
      <c r="N5" s="2"/>
      <c r="O5" s="2"/>
      <c r="P5" s="2"/>
      <c r="Q5" s="2"/>
      <c r="R5" s="2"/>
      <c r="S5" s="2"/>
      <c r="T5" s="2"/>
    </row>
    <row r="6" spans="2:20" x14ac:dyDescent="0.2">
      <c r="B6" s="35" t="s">
        <v>47</v>
      </c>
      <c r="C6" s="3">
        <v>69</v>
      </c>
      <c r="D6" s="3">
        <v>130</v>
      </c>
      <c r="E6" s="3">
        <v>765</v>
      </c>
      <c r="F6" s="48">
        <v>697</v>
      </c>
      <c r="G6" s="3">
        <v>987</v>
      </c>
      <c r="H6" s="48">
        <v>1500</v>
      </c>
      <c r="I6" s="48">
        <v>2100</v>
      </c>
      <c r="J6" s="48">
        <f>I6*I7+I6</f>
        <v>2940</v>
      </c>
      <c r="K6" s="48">
        <f t="shared" ref="K6" si="1">J6*J7+J6</f>
        <v>4116</v>
      </c>
      <c r="L6" s="48">
        <f>K6*0.2+K6</f>
        <v>4939.2</v>
      </c>
      <c r="M6" s="77">
        <f>L6*L7+L6</f>
        <v>5927.0399999999991</v>
      </c>
      <c r="N6" s="4"/>
      <c r="O6" s="4"/>
      <c r="P6" s="5"/>
      <c r="Q6" s="5"/>
      <c r="R6" s="5"/>
      <c r="S6" s="5"/>
      <c r="T6" s="5"/>
    </row>
    <row r="7" spans="2:20" x14ac:dyDescent="0.2">
      <c r="B7" s="41" t="s">
        <v>76</v>
      </c>
      <c r="C7" s="3"/>
      <c r="D7" s="49">
        <f>(D6-C6)/C6</f>
        <v>0.88405797101449279</v>
      </c>
      <c r="E7" s="49">
        <f t="shared" ref="E7:K7" si="2">(E6-D6)/D6</f>
        <v>4.884615384615385</v>
      </c>
      <c r="F7" s="49">
        <f t="shared" si="2"/>
        <v>-8.8888888888888892E-2</v>
      </c>
      <c r="G7" s="49">
        <f t="shared" si="2"/>
        <v>0.41606886657101866</v>
      </c>
      <c r="H7" s="49">
        <f t="shared" si="2"/>
        <v>0.51975683890577506</v>
      </c>
      <c r="I7" s="49">
        <f t="shared" si="2"/>
        <v>0.4</v>
      </c>
      <c r="J7" s="49">
        <f t="shared" si="2"/>
        <v>0.4</v>
      </c>
      <c r="K7" s="49">
        <f t="shared" si="2"/>
        <v>0.4</v>
      </c>
      <c r="L7" s="49">
        <f t="shared" ref="L7" si="3">(L6-K6)/K6</f>
        <v>0.19999999999999996</v>
      </c>
      <c r="M7" s="69">
        <f t="shared" ref="M7" si="4">(M6-L6)/L6</f>
        <v>0.19999999999999984</v>
      </c>
      <c r="N7" s="4"/>
      <c r="O7" s="4"/>
      <c r="P7" s="5"/>
      <c r="Q7" s="5"/>
      <c r="R7" s="5"/>
      <c r="S7" s="5"/>
      <c r="T7" s="5"/>
    </row>
    <row r="8" spans="2:20" s="30" customFormat="1" x14ac:dyDescent="0.2">
      <c r="B8" s="35" t="s">
        <v>48</v>
      </c>
      <c r="C8" s="47">
        <v>0</v>
      </c>
      <c r="D8" s="3">
        <v>1</v>
      </c>
      <c r="E8" s="3">
        <v>5</v>
      </c>
      <c r="F8" s="48">
        <v>0</v>
      </c>
      <c r="G8" s="47">
        <v>0</v>
      </c>
      <c r="H8" s="74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12" t="s">
        <v>28</v>
      </c>
    </row>
    <row r="9" spans="2:20" x14ac:dyDescent="0.2">
      <c r="B9" s="46" t="s">
        <v>50</v>
      </c>
      <c r="C9" s="3">
        <v>26</v>
      </c>
      <c r="D9" s="3">
        <v>11</v>
      </c>
      <c r="E9" s="3">
        <v>65</v>
      </c>
      <c r="F9" s="48">
        <v>31</v>
      </c>
      <c r="G9" s="3">
        <v>30</v>
      </c>
      <c r="H9" s="75">
        <f>AVERAGE(C9:G9)</f>
        <v>32.6</v>
      </c>
      <c r="I9" s="3">
        <v>43</v>
      </c>
      <c r="J9" s="3">
        <v>54</v>
      </c>
      <c r="K9" s="3">
        <v>65</v>
      </c>
      <c r="L9" s="75">
        <f>K9*L10+K9</f>
        <v>74.75</v>
      </c>
      <c r="M9" s="86">
        <f>L9*M10+L9</f>
        <v>85.962500000000006</v>
      </c>
      <c r="N9" s="4"/>
      <c r="O9" s="4"/>
      <c r="P9" s="4"/>
      <c r="Q9" s="4"/>
      <c r="R9" s="4"/>
      <c r="S9" s="4"/>
      <c r="T9" s="4"/>
    </row>
    <row r="10" spans="2:20" x14ac:dyDescent="0.2">
      <c r="B10" s="41" t="s">
        <v>76</v>
      </c>
      <c r="C10" s="3"/>
      <c r="D10" s="49">
        <f>(D9-C9)/C9</f>
        <v>-0.57692307692307687</v>
      </c>
      <c r="E10" s="49">
        <f t="shared" ref="E10:G10" si="5">(E9-D9)/D9</f>
        <v>4.9090909090909092</v>
      </c>
      <c r="F10" s="49">
        <f t="shared" si="5"/>
        <v>-0.52307692307692311</v>
      </c>
      <c r="G10" s="49">
        <f t="shared" si="5"/>
        <v>-3.2258064516129031E-2</v>
      </c>
      <c r="H10" s="49">
        <f t="shared" ref="H10" si="6">(H9-G9)/G9</f>
        <v>8.6666666666666711E-2</v>
      </c>
      <c r="I10" s="49">
        <f t="shared" ref="I10" si="7">(I9-H9)/H9</f>
        <v>0.31901840490797539</v>
      </c>
      <c r="J10" s="49">
        <f t="shared" ref="J10" si="8">(J9-I9)/I9</f>
        <v>0.2558139534883721</v>
      </c>
      <c r="K10" s="49">
        <f t="shared" ref="K10" si="9">(K9-J9)/J9</f>
        <v>0.20370370370370369</v>
      </c>
      <c r="L10" s="49">
        <v>0.15</v>
      </c>
      <c r="M10" s="69">
        <v>0.15</v>
      </c>
      <c r="N10" s="4"/>
      <c r="O10" s="4"/>
      <c r="P10" s="4"/>
      <c r="Q10" s="4"/>
      <c r="R10" s="4"/>
      <c r="S10" s="4"/>
      <c r="T10" s="4"/>
    </row>
    <row r="11" spans="2:20" s="30" customFormat="1" x14ac:dyDescent="0.2">
      <c r="B11" s="35" t="s">
        <v>51</v>
      </c>
      <c r="C11" s="3">
        <v>38</v>
      </c>
      <c r="D11" s="3">
        <v>13</v>
      </c>
      <c r="E11" s="3">
        <v>53</v>
      </c>
      <c r="F11" s="48">
        <v>68</v>
      </c>
      <c r="G11" s="3">
        <v>126</v>
      </c>
      <c r="H11" s="75">
        <f>AVERAGE(C11:G11)</f>
        <v>59.6</v>
      </c>
      <c r="I11" s="3">
        <v>72</v>
      </c>
      <c r="J11" s="3">
        <v>84</v>
      </c>
      <c r="K11" s="75">
        <f>H11*G16 +H11</f>
        <v>92.921793323923907</v>
      </c>
      <c r="L11" s="75">
        <f>K11*L12+K11</f>
        <v>100.35553678983781</v>
      </c>
      <c r="M11" s="86">
        <f>L11*M12+L11</f>
        <v>108.38397973302484</v>
      </c>
      <c r="P11" s="31"/>
      <c r="Q11" s="31"/>
      <c r="R11" s="31"/>
      <c r="S11" s="31"/>
      <c r="T11" s="31"/>
    </row>
    <row r="12" spans="2:20" s="30" customFormat="1" x14ac:dyDescent="0.2">
      <c r="B12" s="41" t="s">
        <v>76</v>
      </c>
      <c r="C12" s="49"/>
      <c r="D12" s="49">
        <f>(D11-C11)/C11</f>
        <v>-0.65789473684210531</v>
      </c>
      <c r="E12" s="49">
        <f t="shared" ref="E12:G12" si="10">(E11-D11)/D11</f>
        <v>3.0769230769230771</v>
      </c>
      <c r="F12" s="49">
        <f t="shared" si="10"/>
        <v>0.28301886792452829</v>
      </c>
      <c r="G12" s="49">
        <f t="shared" si="10"/>
        <v>0.8529411764705882</v>
      </c>
      <c r="H12" s="49">
        <f t="shared" ref="H12" si="11">(H11-G11)/G11</f>
        <v>-0.526984126984127</v>
      </c>
      <c r="I12" s="49">
        <f t="shared" ref="I12" si="12">(I11-H11)/H11</f>
        <v>0.20805369127516776</v>
      </c>
      <c r="J12" s="49">
        <f t="shared" ref="J12" si="13">(J11-I11)/I11</f>
        <v>0.16666666666666666</v>
      </c>
      <c r="K12" s="49">
        <f t="shared" ref="K12" si="14">(K11-J11)/J11</f>
        <v>0.10621182528480842</v>
      </c>
      <c r="L12" s="49">
        <v>0.08</v>
      </c>
      <c r="M12" s="69">
        <v>0.08</v>
      </c>
      <c r="P12" s="31"/>
      <c r="Q12" s="31"/>
      <c r="R12" s="31"/>
      <c r="S12" s="31"/>
      <c r="T12" s="31"/>
    </row>
    <row r="13" spans="2:20" s="30" customFormat="1" x14ac:dyDescent="0.2">
      <c r="B13" s="35" t="s">
        <v>52</v>
      </c>
      <c r="C13" s="3">
        <v>113</v>
      </c>
      <c r="D13" s="3">
        <v>29</v>
      </c>
      <c r="E13" s="3">
        <v>21</v>
      </c>
      <c r="F13" s="48">
        <v>139</v>
      </c>
      <c r="G13" s="3">
        <v>313</v>
      </c>
      <c r="H13" s="3">
        <v>360</v>
      </c>
      <c r="I13" s="3">
        <v>410</v>
      </c>
      <c r="J13" s="3">
        <v>460</v>
      </c>
      <c r="K13" s="75">
        <f>G16*313+G13</f>
        <v>487.99532399980177</v>
      </c>
      <c r="L13" s="75">
        <f>K13*L14+K13</f>
        <v>517.2750434397899</v>
      </c>
      <c r="M13" s="86">
        <f>L13*M14+L13</f>
        <v>548.31154604617734</v>
      </c>
      <c r="P13" s="31"/>
      <c r="Q13" s="31"/>
      <c r="R13" s="31"/>
      <c r="S13" s="31"/>
      <c r="T13" s="31"/>
    </row>
    <row r="14" spans="2:20" s="30" customFormat="1" x14ac:dyDescent="0.2">
      <c r="B14" s="41" t="s">
        <v>76</v>
      </c>
      <c r="C14" s="3"/>
      <c r="D14" s="49">
        <f>(D13-C13)/C13</f>
        <v>-0.74336283185840712</v>
      </c>
      <c r="E14" s="49">
        <f t="shared" ref="E14:K14" si="15">(E13-D13)/D13</f>
        <v>-0.27586206896551724</v>
      </c>
      <c r="F14" s="49">
        <f t="shared" si="15"/>
        <v>5.6190476190476186</v>
      </c>
      <c r="G14" s="49">
        <f t="shared" si="15"/>
        <v>1.2517985611510791</v>
      </c>
      <c r="H14" s="49">
        <f t="shared" si="15"/>
        <v>0.15015974440894569</v>
      </c>
      <c r="I14" s="49">
        <f t="shared" si="15"/>
        <v>0.1388888888888889</v>
      </c>
      <c r="J14" s="49">
        <f t="shared" si="15"/>
        <v>0.12195121951219512</v>
      </c>
      <c r="K14" s="49">
        <f t="shared" si="15"/>
        <v>6.0859399999569061E-2</v>
      </c>
      <c r="L14" s="49">
        <v>0.06</v>
      </c>
      <c r="M14" s="69">
        <v>0.06</v>
      </c>
      <c r="P14" s="31"/>
      <c r="Q14" s="31"/>
      <c r="R14" s="31"/>
      <c r="S14" s="31"/>
      <c r="T14" s="31"/>
    </row>
    <row r="15" spans="2:20" s="30" customFormat="1" x14ac:dyDescent="0.2">
      <c r="B15" s="35" t="s">
        <v>62</v>
      </c>
      <c r="C15" s="48">
        <f>SUM(C6:C13)</f>
        <v>246</v>
      </c>
      <c r="D15" s="48">
        <f>SUM(D6:D13)</f>
        <v>183.64924015724932</v>
      </c>
      <c r="E15" s="48">
        <f>SUM(E6:E13)</f>
        <v>921.87062937062933</v>
      </c>
      <c r="F15" s="48">
        <f>SUM(F6:F13)</f>
        <v>934.67105305595874</v>
      </c>
      <c r="G15" s="48">
        <f>SUM(G6:G13)</f>
        <v>1457.2367519785255</v>
      </c>
      <c r="H15" s="48">
        <f t="shared" ref="H15:M15" si="16">SUM(H6:H13)</f>
        <v>1952.279439378588</v>
      </c>
      <c r="I15" s="48">
        <f t="shared" si="16"/>
        <v>2625.9270720961836</v>
      </c>
      <c r="J15" s="48">
        <f>SUM(J6:J13)</f>
        <v>3538.8224806201551</v>
      </c>
      <c r="K15" s="48">
        <f t="shared" si="16"/>
        <v>4762.6270328527144</v>
      </c>
      <c r="L15" s="48">
        <f t="shared" si="16"/>
        <v>5632.0105802296275</v>
      </c>
      <c r="M15" s="77">
        <f t="shared" si="16"/>
        <v>6670.1280257792005</v>
      </c>
      <c r="P15" s="31"/>
      <c r="Q15" s="31"/>
      <c r="R15" s="31"/>
      <c r="S15" s="31"/>
      <c r="T15" s="31"/>
    </row>
    <row r="16" spans="2:20" s="30" customFormat="1" x14ac:dyDescent="0.2">
      <c r="B16" s="41" t="s">
        <v>49</v>
      </c>
      <c r="C16" s="47">
        <v>0</v>
      </c>
      <c r="D16" s="49">
        <f>(D15-C15)/C15</f>
        <v>-0.25345837334451493</v>
      </c>
      <c r="E16" s="49">
        <f>(E15-D15)/D15</f>
        <v>4.0197356034867298</v>
      </c>
      <c r="F16" s="49">
        <f t="shared" ref="F16:G16" si="17">(F15-E15)/E15</f>
        <v>1.3885271183949518E-2</v>
      </c>
      <c r="G16" s="49">
        <f t="shared" si="17"/>
        <v>0.55909049201214622</v>
      </c>
      <c r="H16" s="67">
        <f>AVERAGE(D16:G16)</f>
        <v>1.0848132483345776</v>
      </c>
      <c r="I16" s="67">
        <f t="shared" ref="I16:M16" si="18">AVERAGE(E16:H16)</f>
        <v>1.4193811537543506</v>
      </c>
      <c r="J16" s="67">
        <f t="shared" si="18"/>
        <v>0.76929254132125602</v>
      </c>
      <c r="K16" s="67">
        <f t="shared" si="18"/>
        <v>0.95814435885558258</v>
      </c>
      <c r="L16" s="67">
        <f t="shared" si="18"/>
        <v>1.0579078255664418</v>
      </c>
      <c r="M16" s="73">
        <f t="shared" si="18"/>
        <v>1.0511814698744077</v>
      </c>
      <c r="P16" s="31"/>
      <c r="Q16" s="31"/>
      <c r="R16" s="31"/>
      <c r="S16" s="31"/>
      <c r="T16" s="31"/>
    </row>
    <row r="17" spans="2:20" x14ac:dyDescent="0.2">
      <c r="B17" s="35" t="s">
        <v>53</v>
      </c>
      <c r="C17" s="48">
        <v>4591</v>
      </c>
      <c r="D17" s="48">
        <v>4395</v>
      </c>
      <c r="E17" s="48">
        <v>3365</v>
      </c>
      <c r="F17" s="48">
        <v>3585</v>
      </c>
      <c r="G17" s="48">
        <v>4357</v>
      </c>
      <c r="H17" s="45"/>
      <c r="I17" s="45"/>
      <c r="J17" s="45"/>
      <c r="K17" s="45"/>
      <c r="L17" s="45"/>
      <c r="M17" s="78"/>
      <c r="N17" s="4"/>
      <c r="O17" s="4"/>
      <c r="P17" s="6"/>
      <c r="Q17" s="6"/>
      <c r="R17" s="6"/>
      <c r="S17" s="6"/>
      <c r="T17" s="6"/>
    </row>
    <row r="18" spans="2:20" s="30" customFormat="1" x14ac:dyDescent="0.2">
      <c r="B18" s="35" t="s">
        <v>54</v>
      </c>
      <c r="C18" s="48">
        <v>17</v>
      </c>
      <c r="D18" s="48">
        <v>17</v>
      </c>
      <c r="E18" s="48">
        <v>5</v>
      </c>
      <c r="F18" s="48">
        <v>0</v>
      </c>
      <c r="G18" s="48">
        <v>0</v>
      </c>
      <c r="H18" s="45"/>
      <c r="I18" s="45"/>
      <c r="J18" s="45"/>
      <c r="K18" s="45"/>
      <c r="L18" s="45"/>
      <c r="M18" s="78"/>
      <c r="P18" s="31"/>
      <c r="Q18" s="31"/>
      <c r="R18" s="31"/>
      <c r="S18" s="31"/>
      <c r="T18" s="31"/>
    </row>
    <row r="19" spans="2:20" x14ac:dyDescent="0.2">
      <c r="B19" s="46" t="s">
        <v>55</v>
      </c>
      <c r="C19" s="48">
        <v>97</v>
      </c>
      <c r="D19" s="48">
        <v>92</v>
      </c>
      <c r="E19" s="48">
        <v>103</v>
      </c>
      <c r="F19" s="48">
        <v>120</v>
      </c>
      <c r="G19" s="48">
        <v>101</v>
      </c>
      <c r="H19" s="45"/>
      <c r="I19" s="45"/>
      <c r="J19" s="45"/>
      <c r="K19" s="45"/>
      <c r="L19" s="45"/>
      <c r="M19" s="78"/>
      <c r="N19" s="4"/>
      <c r="O19" s="4"/>
      <c r="P19" s="6"/>
      <c r="Q19" s="6"/>
      <c r="R19" s="6"/>
      <c r="S19" s="6"/>
      <c r="T19" s="6"/>
    </row>
    <row r="20" spans="2:20" s="30" customFormat="1" x14ac:dyDescent="0.2">
      <c r="B20" s="35" t="s">
        <v>56</v>
      </c>
      <c r="C20" s="48">
        <v>388</v>
      </c>
      <c r="D20" s="48">
        <v>381</v>
      </c>
      <c r="E20" s="48">
        <v>298</v>
      </c>
      <c r="F20" s="48">
        <v>328</v>
      </c>
      <c r="G20" s="48">
        <v>491</v>
      </c>
      <c r="H20" s="45"/>
      <c r="I20" s="45"/>
      <c r="J20" s="45"/>
      <c r="K20" s="45"/>
      <c r="L20" s="45"/>
      <c r="M20" s="78"/>
      <c r="P20" s="31"/>
      <c r="Q20" s="31"/>
      <c r="R20" s="31"/>
      <c r="S20" s="31"/>
      <c r="T20" s="31"/>
    </row>
    <row r="21" spans="2:20" x14ac:dyDescent="0.2">
      <c r="B21" s="35" t="s">
        <v>57</v>
      </c>
      <c r="C21" s="48">
        <v>569</v>
      </c>
      <c r="D21" s="48">
        <v>540</v>
      </c>
      <c r="E21" s="48">
        <v>405</v>
      </c>
      <c r="F21" s="48">
        <v>522</v>
      </c>
      <c r="G21" s="48">
        <v>719</v>
      </c>
      <c r="H21" s="45"/>
      <c r="I21" s="45"/>
      <c r="J21" s="45"/>
      <c r="K21" s="45"/>
      <c r="L21" s="45"/>
      <c r="M21" s="78"/>
      <c r="N21" s="4"/>
      <c r="O21" s="4"/>
      <c r="P21" s="6"/>
      <c r="Q21" s="6"/>
      <c r="R21" s="6"/>
      <c r="S21" s="6"/>
      <c r="T21" s="6"/>
    </row>
    <row r="22" spans="2:20" s="30" customFormat="1" x14ac:dyDescent="0.2">
      <c r="B22" s="35" t="s">
        <v>58</v>
      </c>
      <c r="C22" s="48">
        <f>SUM(C16:C21) - 218</f>
        <v>5444</v>
      </c>
      <c r="D22" s="48">
        <f>SUM(D16:D21) - 218</f>
        <v>5206.7465416266559</v>
      </c>
      <c r="E22" s="48">
        <f t="shared" ref="E22" si="19">SUM(E17:E21)</f>
        <v>4176</v>
      </c>
      <c r="F22" s="48">
        <f t="shared" ref="F22" si="20">SUM(F17:F21)</f>
        <v>4555</v>
      </c>
      <c r="G22" s="48">
        <f t="shared" ref="G22" si="21">SUM(G17:G21)</f>
        <v>5668</v>
      </c>
      <c r="H22" s="50">
        <f>G22*H24+G22</f>
        <v>7368.4</v>
      </c>
      <c r="I22" s="50">
        <f>H22*I24+H22</f>
        <v>9578.92</v>
      </c>
      <c r="J22" s="50">
        <f t="shared" ref="I22:M22" si="22">I22*J24+I22</f>
        <v>11973.65</v>
      </c>
      <c r="K22" s="50">
        <f t="shared" si="22"/>
        <v>14368.38</v>
      </c>
      <c r="L22" s="50">
        <f t="shared" si="22"/>
        <v>16523.636999999999</v>
      </c>
      <c r="M22" s="76">
        <f t="shared" si="22"/>
        <v>19002.182549999998</v>
      </c>
    </row>
    <row r="23" spans="2:20" s="30" customFormat="1" x14ac:dyDescent="0.2">
      <c r="B23" s="35" t="s">
        <v>64</v>
      </c>
      <c r="C23" s="56"/>
      <c r="D23" s="55">
        <f>(C22-D22)</f>
        <v>237.25345837334407</v>
      </c>
      <c r="E23" s="55">
        <f t="shared" ref="E23" si="23">(D22-E22)</f>
        <v>1030.7465416266559</v>
      </c>
      <c r="F23" s="55">
        <f>(E22-F22)</f>
        <v>-379</v>
      </c>
      <c r="G23" s="55">
        <f>(F22-G22)</f>
        <v>-1113</v>
      </c>
      <c r="H23" s="50">
        <f>G22-H22</f>
        <v>-1700.3999999999996</v>
      </c>
      <c r="I23" s="50">
        <f t="shared" ref="I23:M23" si="24">H22-I22</f>
        <v>-2210.5200000000004</v>
      </c>
      <c r="J23" s="50">
        <f t="shared" si="24"/>
        <v>-2394.7299999999996</v>
      </c>
      <c r="K23" s="50">
        <f t="shared" si="24"/>
        <v>-2394.7299999999996</v>
      </c>
      <c r="L23" s="50">
        <f t="shared" si="24"/>
        <v>-2155.2569999999996</v>
      </c>
      <c r="M23" s="76">
        <f t="shared" si="24"/>
        <v>-2478.5455499999989</v>
      </c>
    </row>
    <row r="24" spans="2:20" s="30" customFormat="1" x14ac:dyDescent="0.2">
      <c r="B24" s="41" t="s">
        <v>61</v>
      </c>
      <c r="C24" s="53"/>
      <c r="D24" s="49">
        <f>(D22-C22)/D22</f>
        <v>-4.5566546494353266E-2</v>
      </c>
      <c r="E24" s="49">
        <f t="shared" ref="E24:F24" si="25">(E22-D22)/E22</f>
        <v>-0.24682627912515706</v>
      </c>
      <c r="F24" s="49">
        <f t="shared" si="25"/>
        <v>8.3205268935235999E-2</v>
      </c>
      <c r="G24" s="49">
        <f>(G22-F22)/G22</f>
        <v>0.19636556104446012</v>
      </c>
      <c r="H24" s="79">
        <v>0.3</v>
      </c>
      <c r="I24" s="49">
        <v>0.3</v>
      </c>
      <c r="J24" s="49">
        <v>0.25</v>
      </c>
      <c r="K24" s="49">
        <v>0.2</v>
      </c>
      <c r="L24" s="49">
        <v>0.15</v>
      </c>
      <c r="M24" s="69">
        <v>0.15</v>
      </c>
    </row>
    <row r="25" spans="2:20" s="30" customFormat="1" x14ac:dyDescent="0.2">
      <c r="B25" s="51" t="s">
        <v>65</v>
      </c>
      <c r="C25" s="59"/>
      <c r="D25" s="57">
        <f>-D23/D15</f>
        <v>-1.2918836918148762</v>
      </c>
      <c r="E25" s="57">
        <f>-E23/E15</f>
        <v>-1.1181032444111569</v>
      </c>
      <c r="F25" s="57">
        <f>(-F23)/F15</f>
        <v>0.40549025110046849</v>
      </c>
      <c r="G25" s="57">
        <f>(-G23)/G15</f>
        <v>0.76377431360336823</v>
      </c>
      <c r="H25" s="57">
        <f t="shared" ref="H25:M25" si="26">(-H23)/H15</f>
        <v>0.87098187160196605</v>
      </c>
      <c r="I25" s="57">
        <f t="shared" si="26"/>
        <v>0.84180555640314159</v>
      </c>
      <c r="J25" s="57">
        <f t="shared" si="26"/>
        <v>0.67670249443547648</v>
      </c>
      <c r="K25" s="57">
        <f t="shared" si="26"/>
        <v>0.50281703427144209</v>
      </c>
      <c r="L25" s="57">
        <f t="shared" si="26"/>
        <v>0.38267985638480917</v>
      </c>
      <c r="M25" s="71">
        <f t="shared" si="26"/>
        <v>0.37158890210513712</v>
      </c>
    </row>
    <row r="26" spans="2:20" s="30" customFormat="1" x14ac:dyDescent="0.2">
      <c r="B26" s="51" t="s">
        <v>67</v>
      </c>
      <c r="C26" s="53"/>
      <c r="D26" s="58">
        <f>D23+D15</f>
        <v>420.9026985305934</v>
      </c>
      <c r="E26" s="58">
        <f>E15+E23</f>
        <v>1952.6171709972853</v>
      </c>
      <c r="F26" s="58">
        <f>F15+F23</f>
        <v>555.67105305595874</v>
      </c>
      <c r="G26" s="58">
        <f>G15+G23</f>
        <v>344.23675197852549</v>
      </c>
      <c r="H26" s="80">
        <f>H15+H23</f>
        <v>251.87943937858836</v>
      </c>
      <c r="I26" s="58">
        <f t="shared" ref="I26:M26" si="27">I15+I23</f>
        <v>415.40707209618313</v>
      </c>
      <c r="J26" s="58">
        <f>J15+J23</f>
        <v>1144.0924806201556</v>
      </c>
      <c r="K26" s="58">
        <f>K15+K23</f>
        <v>2367.8970328527148</v>
      </c>
      <c r="L26" s="58">
        <f t="shared" si="27"/>
        <v>3476.7535802296279</v>
      </c>
      <c r="M26" s="87">
        <f t="shared" si="27"/>
        <v>4191.5824757792016</v>
      </c>
    </row>
    <row r="27" spans="2:20" s="30" customFormat="1" x14ac:dyDescent="0.2">
      <c r="B27" s="41" t="s">
        <v>68</v>
      </c>
      <c r="C27" s="53"/>
      <c r="D27" s="60"/>
      <c r="E27" s="57">
        <f>(E26-D26)/D26</f>
        <v>3.6391177291427104</v>
      </c>
      <c r="F27" s="57">
        <f t="shared" ref="F27:G27" si="28">(F26-E26)/E26</f>
        <v>-0.71542242826219038</v>
      </c>
      <c r="G27" s="57">
        <f t="shared" si="28"/>
        <v>-0.38050263715310145</v>
      </c>
      <c r="H27" s="57">
        <f t="shared" ref="H27" si="29">(H26-G26)/G26</f>
        <v>-0.26829590991986424</v>
      </c>
      <c r="I27" s="57">
        <f t="shared" ref="I27" si="30">(I26-H26)/H26</f>
        <v>0.6492297788220972</v>
      </c>
      <c r="J27" s="57">
        <f t="shared" ref="J27" si="31">(J26-I26)/I26</f>
        <v>1.7541478166150553</v>
      </c>
      <c r="K27" s="57">
        <f t="shared" ref="K27" si="32">(K26-J26)/J26</f>
        <v>1.0696727519520062</v>
      </c>
      <c r="L27" s="57">
        <f t="shared" ref="L27" si="33">(L26-K26)/K26</f>
        <v>0.46828748547440951</v>
      </c>
      <c r="M27" s="71">
        <f t="shared" ref="M27" si="34">(M26-L26)/L26</f>
        <v>0.205602404385059</v>
      </c>
    </row>
    <row r="28" spans="2:20" s="30" customFormat="1" x14ac:dyDescent="0.2">
      <c r="B28" s="81" t="s">
        <v>63</v>
      </c>
      <c r="C28" s="34">
        <v>32255</v>
      </c>
      <c r="D28" s="34">
        <v>16162</v>
      </c>
      <c r="E28" s="34">
        <v>19714</v>
      </c>
      <c r="F28" s="34">
        <v>26026</v>
      </c>
      <c r="G28" s="34">
        <v>33901</v>
      </c>
      <c r="H28" s="65">
        <f>((G29+G32)/2)*H26</f>
        <v>23961.185691213221</v>
      </c>
      <c r="I28" s="65">
        <f>((I33+H32)/2)*I26</f>
        <v>19693.048969172742</v>
      </c>
      <c r="J28" s="65">
        <f>((I29+I32)/2)*J26</f>
        <v>119344.15130116174</v>
      </c>
      <c r="K28" s="65">
        <f t="shared" ref="J28:L28" si="35">((J29+J32)/2)*K26</f>
        <v>255206.68370044322</v>
      </c>
      <c r="L28" s="65">
        <f t="shared" si="35"/>
        <v>386904.7328178325</v>
      </c>
      <c r="M28" s="66">
        <f>((L29+L32)/2)*M26</f>
        <v>485422.98137049261</v>
      </c>
      <c r="P28" s="31"/>
      <c r="Q28" s="31"/>
      <c r="R28" s="31"/>
      <c r="S28" s="31"/>
      <c r="T28" s="31"/>
    </row>
    <row r="29" spans="2:20" s="30" customFormat="1" x14ac:dyDescent="0.2">
      <c r="B29" s="51" t="s">
        <v>66</v>
      </c>
      <c r="C29" s="61"/>
      <c r="D29" s="52">
        <f>D28/D26</f>
        <v>38.398423332572818</v>
      </c>
      <c r="E29" s="52">
        <f>E28/E26</f>
        <v>10.096193095511506</v>
      </c>
      <c r="F29" s="52">
        <f t="shared" ref="F29:G29" si="36">F28/F26</f>
        <v>46.837062785379715</v>
      </c>
      <c r="G29" s="52">
        <f t="shared" si="36"/>
        <v>98.481640339538316</v>
      </c>
      <c r="H29" s="68">
        <v>107</v>
      </c>
      <c r="I29" s="68">
        <v>111</v>
      </c>
      <c r="J29" s="68">
        <v>115</v>
      </c>
      <c r="K29" s="68">
        <v>120</v>
      </c>
      <c r="L29" s="68">
        <v>127</v>
      </c>
      <c r="M29" s="72">
        <v>135</v>
      </c>
      <c r="P29" s="31"/>
      <c r="Q29" s="31"/>
      <c r="R29" s="31"/>
      <c r="S29" s="31"/>
      <c r="T29" s="31"/>
    </row>
    <row r="30" spans="2:20" s="30" customFormat="1" x14ac:dyDescent="0.2">
      <c r="B30" s="41" t="s">
        <v>70</v>
      </c>
      <c r="C30" s="61"/>
      <c r="D30" s="62"/>
      <c r="E30" s="49">
        <f>(E29-D29)/D29</f>
        <v>-0.7370675090467308</v>
      </c>
      <c r="F30" s="49">
        <f t="shared" ref="F30:H30" si="37">(F29-E29)/E29</f>
        <v>3.6390815173891831</v>
      </c>
      <c r="G30" s="49">
        <f t="shared" si="37"/>
        <v>1.102643387157052</v>
      </c>
      <c r="H30" s="49">
        <f>(H29-G29)/G29</f>
        <v>8.6496931114192058E-2</v>
      </c>
      <c r="I30" s="49">
        <f t="shared" ref="I30:M30" si="38">(I29-H29)/H29</f>
        <v>3.7383177570093455E-2</v>
      </c>
      <c r="J30" s="49">
        <f t="shared" si="38"/>
        <v>3.6036036036036036E-2</v>
      </c>
      <c r="K30" s="49">
        <f t="shared" si="38"/>
        <v>4.3478260869565216E-2</v>
      </c>
      <c r="L30" s="49">
        <f t="shared" si="38"/>
        <v>5.8333333333333334E-2</v>
      </c>
      <c r="M30" s="49">
        <f t="shared" si="38"/>
        <v>6.2992125984251968E-2</v>
      </c>
      <c r="P30" s="31"/>
      <c r="Q30" s="31"/>
      <c r="R30" s="31"/>
      <c r="S30" s="31"/>
      <c r="T30" s="31"/>
    </row>
    <row r="31" spans="2:20" s="30" customFormat="1" x14ac:dyDescent="0.2">
      <c r="B31" s="35" t="s">
        <v>59</v>
      </c>
      <c r="C31" s="34">
        <v>463403</v>
      </c>
      <c r="D31" s="34">
        <v>363404</v>
      </c>
      <c r="E31" s="34">
        <v>377499</v>
      </c>
      <c r="F31" s="34">
        <v>404381</v>
      </c>
      <c r="G31" s="34">
        <v>520195</v>
      </c>
      <c r="H31" s="34">
        <v>520195</v>
      </c>
      <c r="I31" s="34">
        <v>520195</v>
      </c>
      <c r="J31" s="34">
        <v>520195</v>
      </c>
      <c r="K31" s="34">
        <v>520195</v>
      </c>
      <c r="L31" s="34">
        <v>520195</v>
      </c>
      <c r="M31" s="88">
        <v>520195</v>
      </c>
    </row>
    <row r="32" spans="2:20" s="30" customFormat="1" x14ac:dyDescent="0.2">
      <c r="B32" s="35" t="s">
        <v>60</v>
      </c>
      <c r="C32" s="31">
        <f>C31/C22</f>
        <v>85.12178545187362</v>
      </c>
      <c r="D32" s="31">
        <f t="shared" ref="D32:G32" si="39">D31/D22</f>
        <v>69.794831973224461</v>
      </c>
      <c r="E32" s="31">
        <f t="shared" si="39"/>
        <v>90.397270114942529</v>
      </c>
      <c r="F32" s="31">
        <f t="shared" si="39"/>
        <v>88.777387486278812</v>
      </c>
      <c r="G32" s="31">
        <f t="shared" si="39"/>
        <v>91.777522935779814</v>
      </c>
      <c r="H32" s="68">
        <f>G32*H33+G32</f>
        <v>94.783258088263949</v>
      </c>
      <c r="I32" s="68">
        <f t="shared" ref="I32:M32" si="40">H32*I33+H32</f>
        <v>97.626755830911861</v>
      </c>
      <c r="J32" s="68">
        <f t="shared" si="40"/>
        <v>100.55555850583922</v>
      </c>
      <c r="K32" s="68">
        <f t="shared" si="40"/>
        <v>102.56666967595601</v>
      </c>
      <c r="L32" s="68">
        <f t="shared" si="40"/>
        <v>104.61800306947512</v>
      </c>
      <c r="M32" s="72">
        <f t="shared" si="40"/>
        <v>107.233453146212</v>
      </c>
    </row>
    <row r="33" spans="2:20" s="30" customFormat="1" x14ac:dyDescent="0.2">
      <c r="B33" s="41" t="s">
        <v>69</v>
      </c>
      <c r="C33" s="54"/>
      <c r="D33" s="49">
        <f>(D32-C32)/C32</f>
        <v>-0.18005911644457637</v>
      </c>
      <c r="E33" s="49">
        <f t="shared" ref="E33:G33" si="41">(E32-D32)/D32</f>
        <v>0.29518572592340109</v>
      </c>
      <c r="F33" s="49">
        <f t="shared" si="41"/>
        <v>-1.7919596759990577E-2</v>
      </c>
      <c r="G33" s="49">
        <f t="shared" si="41"/>
        <v>3.3793914581736195E-2</v>
      </c>
      <c r="H33" s="67">
        <f>(D33+E33+F33+G33)/4</f>
        <v>3.2750231825142584E-2</v>
      </c>
      <c r="I33" s="67">
        <v>0.03</v>
      </c>
      <c r="J33" s="67">
        <v>0.03</v>
      </c>
      <c r="K33" s="67">
        <v>0.02</v>
      </c>
      <c r="L33" s="67">
        <v>0.02</v>
      </c>
      <c r="M33" s="73">
        <f t="shared" ref="M33" si="42">(I33+J33+K33+L33)/4</f>
        <v>2.5000000000000001E-2</v>
      </c>
    </row>
    <row r="34" spans="2:20" s="31" customFormat="1" x14ac:dyDescent="0.2">
      <c r="B34" s="39" t="s">
        <v>71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12"/>
    </row>
    <row r="35" spans="2:20" s="31" customFormat="1" x14ac:dyDescent="0.2">
      <c r="B35" s="35" t="s">
        <v>78</v>
      </c>
      <c r="C35" s="48">
        <v>800000</v>
      </c>
      <c r="D35" s="48">
        <f>C35*0.075+C35</f>
        <v>860000</v>
      </c>
      <c r="E35" s="48">
        <f t="shared" ref="E35:M35" si="43">D35*0.075+D35</f>
        <v>924500</v>
      </c>
      <c r="F35" s="48">
        <f t="shared" si="43"/>
        <v>993837.5</v>
      </c>
      <c r="G35" s="48">
        <f t="shared" si="43"/>
        <v>1068375.3125</v>
      </c>
      <c r="H35" s="48">
        <f t="shared" si="43"/>
        <v>1148503.4609375</v>
      </c>
      <c r="I35" s="48">
        <f t="shared" si="43"/>
        <v>1234641.2205078125</v>
      </c>
      <c r="J35" s="48">
        <f t="shared" si="43"/>
        <v>1327239.3120458983</v>
      </c>
      <c r="K35" s="48">
        <f t="shared" si="43"/>
        <v>1426782.2604493406</v>
      </c>
      <c r="L35" s="48">
        <f t="shared" si="43"/>
        <v>1533790.929983041</v>
      </c>
      <c r="M35" s="77">
        <f t="shared" si="43"/>
        <v>1648825.2497317691</v>
      </c>
    </row>
    <row r="36" spans="2:20" s="30" customFormat="1" x14ac:dyDescent="0.2">
      <c r="B36" s="35" t="s">
        <v>74</v>
      </c>
      <c r="C36" s="49">
        <f>C38/C35</f>
        <v>3.2618750000000002E-2</v>
      </c>
      <c r="D36" s="49">
        <f t="shared" ref="D36:G36" si="44">D38/D35</f>
        <v>3.0531395348837208E-2</v>
      </c>
      <c r="E36" s="49">
        <f t="shared" si="44"/>
        <v>2.8707409410492157E-2</v>
      </c>
      <c r="F36" s="49">
        <f t="shared" si="44"/>
        <v>2.3306627089438665E-2</v>
      </c>
      <c r="G36" s="92">
        <f>G38/G35</f>
        <v>3.1731358449936103E-2</v>
      </c>
      <c r="H36" s="89">
        <v>3.5000000000000003E-2</v>
      </c>
      <c r="I36" s="89">
        <v>0.04</v>
      </c>
      <c r="J36" s="89">
        <v>4.4999999999999998E-2</v>
      </c>
      <c r="K36" s="89">
        <v>0.05</v>
      </c>
      <c r="L36" s="89">
        <v>5.5E-2</v>
      </c>
      <c r="M36" s="90">
        <v>0.06</v>
      </c>
      <c r="P36" s="31"/>
      <c r="Q36" s="31"/>
      <c r="R36" s="31"/>
      <c r="S36" s="31"/>
      <c r="T36" s="31"/>
    </row>
    <row r="37" spans="2:20" s="30" customFormat="1" x14ac:dyDescent="0.2">
      <c r="B37" s="41" t="s">
        <v>75</v>
      </c>
      <c r="C37" s="3"/>
      <c r="D37" s="67">
        <f>(D36-C36)</f>
        <v>-2.0873546511627934E-3</v>
      </c>
      <c r="E37" s="67">
        <f t="shared" ref="E37:F37" si="45">(E36-D36)</f>
        <v>-1.8239859383450512E-3</v>
      </c>
      <c r="F37" s="67">
        <f t="shared" si="45"/>
        <v>-5.4007823210534926E-3</v>
      </c>
      <c r="G37" s="67">
        <f>(G36-F36)</f>
        <v>8.4247313604974387E-3</v>
      </c>
      <c r="H37" s="91">
        <f>(H36-G36)</f>
        <v>3.2686415500638999E-3</v>
      </c>
      <c r="I37" s="91">
        <f t="shared" ref="H37:M37" si="46">(I36-H36)</f>
        <v>4.9999999999999975E-3</v>
      </c>
      <c r="J37" s="91">
        <f t="shared" si="46"/>
        <v>4.9999999999999975E-3</v>
      </c>
      <c r="K37" s="91">
        <f t="shared" si="46"/>
        <v>5.0000000000000044E-3</v>
      </c>
      <c r="L37" s="91">
        <f t="shared" si="46"/>
        <v>4.9999999999999975E-3</v>
      </c>
      <c r="M37" s="95">
        <f t="shared" si="46"/>
        <v>4.9999999999999975E-3</v>
      </c>
      <c r="P37" s="31"/>
      <c r="Q37" s="31"/>
      <c r="R37" s="31"/>
      <c r="S37" s="31"/>
      <c r="T37" s="31"/>
    </row>
    <row r="38" spans="2:20" s="30" customFormat="1" x14ac:dyDescent="0.2">
      <c r="B38" s="35" t="s">
        <v>39</v>
      </c>
      <c r="C38" s="34">
        <v>26095</v>
      </c>
      <c r="D38" s="34">
        <v>26257</v>
      </c>
      <c r="E38" s="34">
        <v>26540</v>
      </c>
      <c r="F38" s="85">
        <v>23163</v>
      </c>
      <c r="G38" s="85">
        <v>33901</v>
      </c>
      <c r="H38" s="63">
        <f>H36*H35</f>
        <v>40197.621132812506</v>
      </c>
      <c r="I38" s="63">
        <f t="shared" ref="I38:M38" si="47">I36*I35</f>
        <v>49385.648820312497</v>
      </c>
      <c r="J38" s="63">
        <f t="shared" si="47"/>
        <v>59725.769042065418</v>
      </c>
      <c r="K38" s="63">
        <f t="shared" si="47"/>
        <v>71339.113022467034</v>
      </c>
      <c r="L38" s="63">
        <f t="shared" si="47"/>
        <v>84358.501149067262</v>
      </c>
      <c r="M38" s="70">
        <f t="shared" si="47"/>
        <v>98929.514983906149</v>
      </c>
      <c r="P38" s="31"/>
      <c r="Q38" s="31"/>
      <c r="R38" s="31"/>
      <c r="S38" s="31"/>
      <c r="T38" s="31"/>
    </row>
    <row r="39" spans="2:20" s="30" customFormat="1" x14ac:dyDescent="0.2">
      <c r="B39" s="41" t="s">
        <v>76</v>
      </c>
      <c r="C39" s="43"/>
      <c r="D39" s="49">
        <f>(D38-C38)/C38</f>
        <v>6.2080858401992716E-3</v>
      </c>
      <c r="E39" s="49">
        <f t="shared" ref="E39:G39" si="48">(E38-D38)/D38</f>
        <v>1.0778078226758579E-2</v>
      </c>
      <c r="F39" s="49">
        <f t="shared" si="48"/>
        <v>-0.12724189902034666</v>
      </c>
      <c r="G39" s="79">
        <f t="shared" si="48"/>
        <v>0.4635841644001209</v>
      </c>
      <c r="H39" s="57">
        <f t="shared" ref="H39" si="49">(H38-G38)/G38</f>
        <v>0.18573555744115236</v>
      </c>
      <c r="I39" s="57">
        <f t="shared" ref="I39" si="50">(I38-H38)/H38</f>
        <v>0.22857142857142831</v>
      </c>
      <c r="J39" s="57">
        <f t="shared" ref="J39" si="51">(J38-I38)/I38</f>
        <v>0.20937499999999984</v>
      </c>
      <c r="K39" s="57">
        <f t="shared" ref="K39" si="52">(K38-J38)/J38</f>
        <v>0.19444444444444456</v>
      </c>
      <c r="L39" s="57">
        <f t="shared" ref="L39" si="53">(L38-K38)/K38</f>
        <v>0.18249999999999991</v>
      </c>
      <c r="M39" s="71">
        <f t="shared" ref="M39" si="54">(M38-L38)/L38</f>
        <v>0.17272727272727267</v>
      </c>
      <c r="P39" s="31"/>
      <c r="Q39" s="31"/>
      <c r="R39" s="31"/>
      <c r="S39" s="31"/>
      <c r="T39" s="31"/>
    </row>
    <row r="40" spans="2:20" x14ac:dyDescent="0.2">
      <c r="B40" s="39" t="s">
        <v>73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12"/>
      <c r="N40" s="7"/>
      <c r="O40" s="7"/>
      <c r="P40" s="7"/>
      <c r="Q40" s="8"/>
      <c r="R40" s="7"/>
      <c r="S40" s="7"/>
      <c r="T40" s="7"/>
    </row>
    <row r="41" spans="2:20" s="30" customFormat="1" x14ac:dyDescent="0.2">
      <c r="B41" s="35" t="s">
        <v>39</v>
      </c>
      <c r="C41" s="34">
        <v>18468</v>
      </c>
      <c r="D41" s="34">
        <v>15543</v>
      </c>
      <c r="E41" s="34">
        <v>16328</v>
      </c>
      <c r="F41" s="34">
        <v>17611</v>
      </c>
      <c r="G41" s="34">
        <v>19127</v>
      </c>
      <c r="H41" s="34">
        <f>G41*H42+G41</f>
        <v>20498.815795684772</v>
      </c>
      <c r="I41" s="34">
        <f t="shared" ref="I41:L41" si="55">H41*I42+H41</f>
        <v>22113.990402053339</v>
      </c>
      <c r="J41" s="34">
        <f t="shared" si="55"/>
        <v>23858.029044856587</v>
      </c>
      <c r="K41" s="34">
        <f t="shared" si="55"/>
        <v>25682.220599409829</v>
      </c>
      <c r="L41" s="34">
        <f t="shared" si="55"/>
        <v>27686.458401350395</v>
      </c>
      <c r="M41" s="88">
        <f>L41*M42+L41</f>
        <v>29840.151303691018</v>
      </c>
    </row>
    <row r="42" spans="2:20" s="30" customFormat="1" ht="16" thickBot="1" x14ac:dyDescent="0.25">
      <c r="B42" s="36" t="s">
        <v>76</v>
      </c>
      <c r="C42" s="42"/>
      <c r="D42" s="93">
        <f>(D41-C41)/C41</f>
        <v>-0.15838206627680312</v>
      </c>
      <c r="E42" s="93">
        <f t="shared" ref="E42:G42" si="56">(E41-D41)/D41</f>
        <v>5.0505050505050504E-2</v>
      </c>
      <c r="F42" s="93">
        <f t="shared" si="56"/>
        <v>7.8576678098971092E-2</v>
      </c>
      <c r="G42" s="93">
        <f t="shared" si="56"/>
        <v>8.6082562035091709E-2</v>
      </c>
      <c r="H42" s="94">
        <f>AVERAGE(E42:G42)</f>
        <v>7.1721430213037771E-2</v>
      </c>
      <c r="I42" s="94">
        <f t="shared" ref="I42:M42" si="57">AVERAGE(F42:H42)</f>
        <v>7.8793556782366866E-2</v>
      </c>
      <c r="J42" s="94">
        <f t="shared" si="57"/>
        <v>7.886584967683212E-2</v>
      </c>
      <c r="K42" s="94">
        <f t="shared" si="57"/>
        <v>7.6460278890745581E-2</v>
      </c>
      <c r="L42" s="94">
        <f t="shared" si="57"/>
        <v>7.8039895116648189E-2</v>
      </c>
      <c r="M42" s="96">
        <f t="shared" si="57"/>
        <v>7.778867456140863E-2</v>
      </c>
    </row>
    <row r="43" spans="2:20" ht="16" thickBot="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20" ht="16" thickBot="1" x14ac:dyDescent="0.25">
      <c r="B44" s="82" t="s">
        <v>34</v>
      </c>
      <c r="C44" s="83">
        <v>76559</v>
      </c>
      <c r="D44" s="83">
        <v>58158</v>
      </c>
      <c r="E44" s="83">
        <v>62286</v>
      </c>
      <c r="F44" s="83">
        <v>66608</v>
      </c>
      <c r="G44" s="83">
        <v>77794</v>
      </c>
      <c r="H44" s="97">
        <f>SUM(H41+H38+H28)</f>
        <v>84657.622619710499</v>
      </c>
      <c r="I44" s="97">
        <f t="shared" ref="I44:M44" si="58">SUM(I41+I38+I28)</f>
        <v>91192.688191538575</v>
      </c>
      <c r="J44" s="97">
        <f>SUM(J41+J38+J28)</f>
        <v>202927.94938808374</v>
      </c>
      <c r="K44" s="97">
        <f t="shared" si="58"/>
        <v>352228.01732232008</v>
      </c>
      <c r="L44" s="97">
        <f t="shared" si="58"/>
        <v>498949.69236825017</v>
      </c>
      <c r="M44" s="98">
        <f t="shared" si="58"/>
        <v>614192.64765808976</v>
      </c>
      <c r="N44" s="3"/>
    </row>
    <row r="45" spans="2:20" x14ac:dyDescent="0.2">
      <c r="H45" s="3"/>
      <c r="I45" s="3"/>
      <c r="J45" s="3"/>
      <c r="K45" s="3"/>
      <c r="L45" s="3"/>
      <c r="M45" s="3"/>
      <c r="N45" s="3"/>
    </row>
    <row r="46" spans="2:20" x14ac:dyDescent="0.2">
      <c r="H46" s="3"/>
      <c r="I46" s="3"/>
      <c r="J46" s="3"/>
      <c r="K46" s="3"/>
      <c r="L46" s="3"/>
      <c r="M46" s="3"/>
      <c r="N46" s="3"/>
    </row>
    <row r="47" spans="2:20" x14ac:dyDescent="0.2">
      <c r="B47" s="84" t="s">
        <v>77</v>
      </c>
      <c r="N47" s="3"/>
    </row>
    <row r="48" spans="2:20" x14ac:dyDescent="0.2">
      <c r="N48" s="3"/>
    </row>
    <row r="49" spans="14:14" x14ac:dyDescent="0.2">
      <c r="N49" s="3"/>
    </row>
    <row r="50" spans="14:14" x14ac:dyDescent="0.2">
      <c r="N50" s="3"/>
    </row>
    <row r="51" spans="14:14" x14ac:dyDescent="0.2">
      <c r="N51" s="3"/>
    </row>
    <row r="52" spans="14:14" x14ac:dyDescent="0.2">
      <c r="N52" s="3"/>
    </row>
    <row r="53" spans="14:14" x14ac:dyDescent="0.2">
      <c r="N53" s="3"/>
    </row>
    <row r="54" spans="14:14" x14ac:dyDescent="0.2">
      <c r="N54" s="3"/>
    </row>
    <row r="55" spans="14:14" x14ac:dyDescent="0.2">
      <c r="N55" s="3"/>
    </row>
    <row r="56" spans="14:14" x14ac:dyDescent="0.2">
      <c r="N56" s="3"/>
    </row>
  </sheetData>
  <mergeCells count="3">
    <mergeCell ref="B2:B4"/>
    <mergeCell ref="C2:G4"/>
    <mergeCell ref="H2:M4"/>
  </mergeCells>
  <pageMargins left="0.7" right="0.7" top="0.75" bottom="0.75" header="0.3" footer="0.3"/>
  <ignoredErrors>
    <ignoredError sqref="C15:E15" formulaRange="1"/>
    <ignoredError sqref="H10 K11 K13 G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11CB-66D2-B741-B740-590CA6696D4B}">
  <sheetPr>
    <tabColor rgb="FF00B050"/>
  </sheetPr>
  <dimension ref="A1:P88"/>
  <sheetViews>
    <sheetView topLeftCell="A35" zoomScale="134" zoomScaleNormal="138" workbookViewId="0">
      <selection activeCell="E79" sqref="E79"/>
    </sheetView>
  </sheetViews>
  <sheetFormatPr baseColWidth="10" defaultRowHeight="15" x14ac:dyDescent="0.2"/>
  <cols>
    <col min="1" max="1" width="10.83203125" style="1"/>
    <col min="2" max="2" width="38.6640625" style="1" customWidth="1"/>
    <col min="3" max="3" width="13.5" style="1" customWidth="1"/>
    <col min="4" max="4" width="10.83203125" style="1"/>
    <col min="5" max="5" width="10.83203125" style="1" customWidth="1"/>
    <col min="6" max="7" width="10.83203125" style="1"/>
    <col min="8" max="8" width="12" style="1" customWidth="1"/>
    <col min="9" max="9" width="12.33203125" style="1" customWidth="1"/>
    <col min="10" max="10" width="12.1640625" style="1" customWidth="1"/>
    <col min="11" max="11" width="11.83203125" style="1" customWidth="1"/>
    <col min="12" max="12" width="12.83203125" style="1" customWidth="1"/>
    <col min="13" max="13" width="14" style="1" customWidth="1"/>
    <col min="14" max="14" width="12.5" style="1" bestFit="1" customWidth="1"/>
    <col min="15" max="15" width="12.33203125" style="1" customWidth="1"/>
    <col min="16" max="16" width="12.6640625" style="1" customWidth="1"/>
    <col min="17" max="16384" width="10.83203125" style="1"/>
  </cols>
  <sheetData>
    <row r="1" spans="2:16" ht="16" thickBot="1" x14ac:dyDescent="0.25"/>
    <row r="2" spans="2:16" ht="14" customHeight="1" x14ac:dyDescent="0.2">
      <c r="B2" s="26" t="s">
        <v>29</v>
      </c>
      <c r="C2" s="16" t="s">
        <v>0</v>
      </c>
      <c r="D2" s="16"/>
      <c r="E2" s="16"/>
      <c r="F2" s="16"/>
      <c r="G2" s="16"/>
      <c r="H2" s="17" t="s">
        <v>1</v>
      </c>
      <c r="I2" s="17"/>
      <c r="J2" s="17"/>
      <c r="K2" s="17"/>
      <c r="L2" s="17"/>
      <c r="M2" s="17"/>
      <c r="N2" s="17"/>
      <c r="O2" s="17"/>
      <c r="P2" s="18"/>
    </row>
    <row r="3" spans="2:16" ht="14" customHeight="1" x14ac:dyDescent="0.2">
      <c r="B3" s="27"/>
      <c r="C3" s="14"/>
      <c r="D3" s="14"/>
      <c r="E3" s="14"/>
      <c r="F3" s="14"/>
      <c r="G3" s="14"/>
      <c r="H3" s="15"/>
      <c r="I3" s="15"/>
      <c r="J3" s="15"/>
      <c r="K3" s="15"/>
      <c r="L3" s="15"/>
      <c r="M3" s="15"/>
      <c r="N3" s="15"/>
      <c r="O3" s="15"/>
      <c r="P3" s="19"/>
    </row>
    <row r="4" spans="2:16" ht="14" customHeight="1" x14ac:dyDescent="0.2">
      <c r="B4" s="27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5"/>
      <c r="P4" s="19"/>
    </row>
    <row r="5" spans="2:16" ht="16" x14ac:dyDescent="0.2">
      <c r="B5" s="20"/>
      <c r="C5" s="21">
        <v>2019</v>
      </c>
      <c r="D5" s="21">
        <v>2020</v>
      </c>
      <c r="E5" s="21">
        <v>2021</v>
      </c>
      <c r="F5" s="21">
        <f t="shared" ref="F5:M5" si="0">E5+1</f>
        <v>2022</v>
      </c>
      <c r="G5" s="21">
        <f t="shared" si="0"/>
        <v>2023</v>
      </c>
      <c r="H5" s="21">
        <f>G5+1</f>
        <v>2024</v>
      </c>
      <c r="I5" s="21">
        <f t="shared" si="0"/>
        <v>2025</v>
      </c>
      <c r="J5" s="21">
        <f t="shared" si="0"/>
        <v>2026</v>
      </c>
      <c r="K5" s="21">
        <f t="shared" si="0"/>
        <v>2027</v>
      </c>
      <c r="L5" s="21">
        <f t="shared" si="0"/>
        <v>2028</v>
      </c>
      <c r="M5" s="21">
        <f t="shared" si="0"/>
        <v>2029</v>
      </c>
      <c r="N5" s="10">
        <v>2030</v>
      </c>
      <c r="O5" s="10">
        <v>2031</v>
      </c>
      <c r="P5" s="11">
        <v>2032</v>
      </c>
    </row>
    <row r="6" spans="2:16" x14ac:dyDescent="0.2">
      <c r="B6" s="35" t="s">
        <v>39</v>
      </c>
      <c r="C6" s="34">
        <v>76559</v>
      </c>
      <c r="D6" s="34">
        <v>58158</v>
      </c>
      <c r="E6" s="34">
        <v>62286</v>
      </c>
      <c r="F6" s="34">
        <v>66608</v>
      </c>
      <c r="G6" s="34">
        <v>77794</v>
      </c>
      <c r="H6" s="34">
        <v>84657.622619710499</v>
      </c>
      <c r="I6" s="34">
        <v>91192.688191538575</v>
      </c>
      <c r="J6" s="34">
        <v>202927.94938808374</v>
      </c>
      <c r="K6" s="34">
        <v>352228.01732232008</v>
      </c>
      <c r="L6" s="34">
        <v>498949.69236825017</v>
      </c>
      <c r="M6" s="34">
        <v>614192.64765808976</v>
      </c>
      <c r="N6" s="68">
        <f>M6*N7+M6</f>
        <v>687895.76537706051</v>
      </c>
      <c r="O6" s="68">
        <f t="shared" ref="O6:P6" si="1">N6*O7+N6</f>
        <v>722290.55364591349</v>
      </c>
      <c r="P6" s="68">
        <f t="shared" si="1"/>
        <v>758405.08132820914</v>
      </c>
    </row>
    <row r="7" spans="2:16" x14ac:dyDescent="0.2">
      <c r="B7" s="35" t="s">
        <v>40</v>
      </c>
      <c r="C7" s="3"/>
      <c r="D7" s="49">
        <f>(D6-C6)/C6</f>
        <v>-0.24035057929178802</v>
      </c>
      <c r="E7" s="49">
        <f t="shared" ref="E7:M7" si="2">(E6-D6)/D6</f>
        <v>7.0979057051480443E-2</v>
      </c>
      <c r="F7" s="49">
        <f t="shared" si="2"/>
        <v>6.938958995600937E-2</v>
      </c>
      <c r="G7" s="49">
        <f t="shared" si="2"/>
        <v>0.1679377852510209</v>
      </c>
      <c r="H7" s="49">
        <f t="shared" si="2"/>
        <v>8.8228174662705341E-2</v>
      </c>
      <c r="I7" s="49">
        <f t="shared" si="2"/>
        <v>7.7194059667658826E-2</v>
      </c>
      <c r="J7" s="49">
        <f t="shared" si="2"/>
        <v>1.2252655713126863</v>
      </c>
      <c r="K7" s="49">
        <f t="shared" si="2"/>
        <v>0.73572944675408758</v>
      </c>
      <c r="L7" s="49">
        <f t="shared" si="2"/>
        <v>0.41655310716429084</v>
      </c>
      <c r="M7" s="49">
        <f t="shared" si="2"/>
        <v>0.2309710919809215</v>
      </c>
      <c r="N7" s="49">
        <v>0.12</v>
      </c>
      <c r="O7" s="49">
        <v>0.05</v>
      </c>
      <c r="P7" s="69">
        <v>0.05</v>
      </c>
    </row>
    <row r="8" spans="2:16" x14ac:dyDescent="0.2">
      <c r="B8" s="35" t="s">
        <v>80</v>
      </c>
      <c r="C8" s="34">
        <v>-1975</v>
      </c>
      <c r="D8" s="34">
        <v>-12767</v>
      </c>
      <c r="E8" s="34">
        <v>-2870</v>
      </c>
      <c r="F8" s="34">
        <v>-3519</v>
      </c>
      <c r="G8" s="34">
        <v>-773</v>
      </c>
      <c r="H8" s="34">
        <f>H9*H6</f>
        <v>-2849.6360783768396</v>
      </c>
      <c r="I8" s="34">
        <f>I9*I6</f>
        <v>-2185.0419803842506</v>
      </c>
      <c r="J8" s="34">
        <f>J9*J6</f>
        <v>-2893.8975817575501</v>
      </c>
      <c r="K8" s="34">
        <f t="shared" ref="K8:P8" si="3">K9*K6</f>
        <v>-1606.4114805205193</v>
      </c>
      <c r="L8" s="34">
        <f t="shared" si="3"/>
        <v>2564.2448418562967</v>
      </c>
      <c r="M8" s="34">
        <f t="shared" si="3"/>
        <v>9114.179955369762</v>
      </c>
      <c r="N8" s="34">
        <f t="shared" si="3"/>
        <v>16880.47047417162</v>
      </c>
      <c r="O8" s="34">
        <f t="shared" si="3"/>
        <v>24730.71236824556</v>
      </c>
      <c r="P8" s="34">
        <f t="shared" si="3"/>
        <v>33323.77727554147</v>
      </c>
    </row>
    <row r="9" spans="2:16" x14ac:dyDescent="0.2">
      <c r="B9" s="41" t="s">
        <v>79</v>
      </c>
      <c r="C9" s="49">
        <f>C8/C6</f>
        <v>-2.5797097663240117E-2</v>
      </c>
      <c r="D9" s="49">
        <f t="shared" ref="D9:G9" si="4">D8/D6</f>
        <v>-0.21952267959696001</v>
      </c>
      <c r="E9" s="49">
        <f t="shared" si="4"/>
        <v>-4.6077770285457405E-2</v>
      </c>
      <c r="F9" s="49">
        <f t="shared" si="4"/>
        <v>-5.2831491712707179E-2</v>
      </c>
      <c r="G9" s="49">
        <f t="shared" si="4"/>
        <v>-9.9364989587885956E-3</v>
      </c>
      <c r="H9" s="92">
        <f>AVERAGE(C9,E9,F9,G9)</f>
        <v>-3.3660714655048322E-2</v>
      </c>
      <c r="I9" s="92">
        <f>H9+0.97%</f>
        <v>-2.3960714655048322E-2</v>
      </c>
      <c r="J9" s="92">
        <f t="shared" ref="J9:P9" si="5">I9+0.97%</f>
        <v>-1.4260714655048322E-2</v>
      </c>
      <c r="K9" s="92">
        <f t="shared" si="5"/>
        <v>-4.5607146550483216E-3</v>
      </c>
      <c r="L9" s="92">
        <f t="shared" si="5"/>
        <v>5.1392853449516787E-3</v>
      </c>
      <c r="M9" s="92">
        <f t="shared" si="5"/>
        <v>1.4839285344951679E-2</v>
      </c>
      <c r="N9" s="92">
        <f t="shared" si="5"/>
        <v>2.4539285344951679E-2</v>
      </c>
      <c r="O9" s="92">
        <f t="shared" si="5"/>
        <v>3.423928534495168E-2</v>
      </c>
      <c r="P9" s="92">
        <f t="shared" si="5"/>
        <v>4.393928534495168E-2</v>
      </c>
    </row>
    <row r="10" spans="2:16" x14ac:dyDescent="0.2">
      <c r="B10" s="35" t="s">
        <v>46</v>
      </c>
      <c r="C10" s="99">
        <f>C8*(1-0.2)</f>
        <v>-1580</v>
      </c>
      <c r="D10" s="99">
        <f t="shared" ref="D10:P10" si="6">D8*(1-0.2)</f>
        <v>-10213.6</v>
      </c>
      <c r="E10" s="99">
        <f t="shared" si="6"/>
        <v>-2296</v>
      </c>
      <c r="F10" s="99">
        <f t="shared" si="6"/>
        <v>-2815.2000000000003</v>
      </c>
      <c r="G10" s="99">
        <f t="shared" si="6"/>
        <v>-618.40000000000009</v>
      </c>
      <c r="H10" s="99">
        <f t="shared" si="6"/>
        <v>-2279.7088627014718</v>
      </c>
      <c r="I10" s="99">
        <f t="shared" si="6"/>
        <v>-1748.0335843074006</v>
      </c>
      <c r="J10" s="99">
        <f t="shared" si="6"/>
        <v>-2315.1180654060404</v>
      </c>
      <c r="K10" s="99">
        <f t="shared" si="6"/>
        <v>-1285.1291844164155</v>
      </c>
      <c r="L10" s="99">
        <f t="shared" si="6"/>
        <v>2051.3958734850376</v>
      </c>
      <c r="M10" s="99">
        <f t="shared" si="6"/>
        <v>7291.3439642958101</v>
      </c>
      <c r="N10" s="99">
        <f t="shared" si="6"/>
        <v>13504.376379337296</v>
      </c>
      <c r="O10" s="99">
        <f t="shared" si="6"/>
        <v>19784.56989459645</v>
      </c>
      <c r="P10" s="99">
        <f t="shared" si="6"/>
        <v>26659.021820433176</v>
      </c>
    </row>
    <row r="11" spans="2:16" x14ac:dyDescent="0.2">
      <c r="B11" s="40" t="s">
        <v>42</v>
      </c>
      <c r="C11" s="34">
        <v>2271</v>
      </c>
      <c r="D11" s="34">
        <v>2246</v>
      </c>
      <c r="E11" s="34">
        <v>2144</v>
      </c>
      <c r="F11" s="34">
        <v>1979</v>
      </c>
      <c r="G11" s="34">
        <v>1861</v>
      </c>
      <c r="H11" s="68">
        <f>H12*H6</f>
        <v>1693.1524523942101</v>
      </c>
      <c r="I11" s="68">
        <f t="shared" ref="I11:P11" si="7">I12*I6</f>
        <v>1367.8903228730785</v>
      </c>
      <c r="J11" s="68">
        <f t="shared" si="7"/>
        <v>3043.9192408212562</v>
      </c>
      <c r="K11" s="68">
        <f t="shared" si="7"/>
        <v>4402.850216529001</v>
      </c>
      <c r="L11" s="68">
        <f t="shared" si="7"/>
        <v>6236.8711546031273</v>
      </c>
      <c r="M11" s="68">
        <f t="shared" si="7"/>
        <v>6756.1191242389868</v>
      </c>
      <c r="N11" s="68">
        <f t="shared" si="7"/>
        <v>7566.8534191476656</v>
      </c>
      <c r="O11" s="68">
        <f t="shared" si="7"/>
        <v>7584.0508132820923</v>
      </c>
      <c r="P11" s="68">
        <f t="shared" si="7"/>
        <v>7584.0508132820914</v>
      </c>
    </row>
    <row r="12" spans="2:16" x14ac:dyDescent="0.2">
      <c r="B12" s="100" t="s">
        <v>41</v>
      </c>
      <c r="C12" s="49">
        <f>C11/C6</f>
        <v>2.9663396857325722E-2</v>
      </c>
      <c r="D12" s="49">
        <f t="shared" ref="D12:G12" si="8">D11/D6</f>
        <v>3.8618934626362671E-2</v>
      </c>
      <c r="E12" s="49">
        <f t="shared" si="8"/>
        <v>3.4421860450181418E-2</v>
      </c>
      <c r="F12" s="89">
        <f t="shared" si="8"/>
        <v>2.9711145808311315E-2</v>
      </c>
      <c r="G12" s="89">
        <f t="shared" si="8"/>
        <v>2.3922153379438003E-2</v>
      </c>
      <c r="H12" s="89">
        <v>0.02</v>
      </c>
      <c r="I12" s="89">
        <v>1.4999999999999999E-2</v>
      </c>
      <c r="J12" s="89">
        <v>1.4999999999999999E-2</v>
      </c>
      <c r="K12" s="89">
        <v>1.2500000000000001E-2</v>
      </c>
      <c r="L12" s="89">
        <v>1.2500000000000001E-2</v>
      </c>
      <c r="M12" s="89">
        <v>1.0999999999999999E-2</v>
      </c>
      <c r="N12" s="89">
        <v>1.0999999999999999E-2</v>
      </c>
      <c r="O12" s="92">
        <v>1.0500000000000001E-2</v>
      </c>
      <c r="P12" s="89">
        <v>0.01</v>
      </c>
    </row>
    <row r="13" spans="2:16" x14ac:dyDescent="0.2">
      <c r="B13" s="40" t="s">
        <v>43</v>
      </c>
      <c r="C13" s="34">
        <v>1834</v>
      </c>
      <c r="D13" s="34">
        <v>1303</v>
      </c>
      <c r="E13" s="34">
        <v>980</v>
      </c>
      <c r="F13" s="34">
        <v>1222</v>
      </c>
      <c r="G13" s="34">
        <v>1527</v>
      </c>
      <c r="H13" s="68">
        <f>H6*H14</f>
        <v>1694.3147284852143</v>
      </c>
      <c r="I13" s="68">
        <f t="shared" ref="I13:P13" si="9">I6*I14</f>
        <v>1753.2157981997295</v>
      </c>
      <c r="J13" s="68">
        <f t="shared" si="9"/>
        <v>3772.3456931071673</v>
      </c>
      <c r="K13" s="68">
        <f t="shared" si="9"/>
        <v>6748.9436405860934</v>
      </c>
      <c r="L13" s="68">
        <f t="shared" si="9"/>
        <v>9641.5238593920913</v>
      </c>
      <c r="M13" s="68">
        <f t="shared" si="9"/>
        <v>11830.956183172239</v>
      </c>
      <c r="N13" s="68">
        <f t="shared" si="9"/>
        <v>13147.33320564739</v>
      </c>
      <c r="O13" s="68">
        <f t="shared" si="9"/>
        <v>13788.375050336423</v>
      </c>
      <c r="P13" s="68">
        <f t="shared" si="9"/>
        <v>14553.665920153586</v>
      </c>
    </row>
    <row r="14" spans="2:16" x14ac:dyDescent="0.2">
      <c r="B14" s="41" t="s">
        <v>41</v>
      </c>
      <c r="C14" s="92">
        <f>C13/C6</f>
        <v>2.3955380817408795E-2</v>
      </c>
      <c r="D14" s="92">
        <f t="shared" ref="D14:G14" si="10">D13/D6</f>
        <v>2.2404484335774959E-2</v>
      </c>
      <c r="E14" s="92">
        <f t="shared" si="10"/>
        <v>1.5733872780400091E-2</v>
      </c>
      <c r="F14" s="92">
        <f t="shared" si="10"/>
        <v>1.8346144607254384E-2</v>
      </c>
      <c r="G14" s="92">
        <f t="shared" si="10"/>
        <v>1.9628763143687174E-2</v>
      </c>
      <c r="H14" s="92">
        <f>AVERAGE(C14:G14)</f>
        <v>2.0013729136905078E-2</v>
      </c>
      <c r="I14" s="92">
        <f>AVERAGE(D14:H14)</f>
        <v>1.9225398800804337E-2</v>
      </c>
      <c r="J14" s="92">
        <f>AVERAGE(E14:I14)</f>
        <v>1.8589581693810215E-2</v>
      </c>
      <c r="K14" s="92">
        <f>AVERAGE(F14:J14)</f>
        <v>1.9160723476492239E-2</v>
      </c>
      <c r="L14" s="92">
        <f>AVERAGE(G14:K14)</f>
        <v>1.9323639250339808E-2</v>
      </c>
      <c r="M14" s="92">
        <f>AVERAGE(H14:L14)</f>
        <v>1.9262614471670336E-2</v>
      </c>
      <c r="N14" s="92">
        <f>AVERAGE(I14:M14)</f>
        <v>1.9112391538623388E-2</v>
      </c>
      <c r="O14" s="92">
        <f>AVERAGE(J14:N14)</f>
        <v>1.9089790086187199E-2</v>
      </c>
      <c r="P14" s="92">
        <f>AVERAGE(K14:O14)</f>
        <v>1.9189831764662595E-2</v>
      </c>
    </row>
    <row r="15" spans="2:16" x14ac:dyDescent="0.2">
      <c r="B15" s="35" t="s">
        <v>44</v>
      </c>
      <c r="C15" s="45">
        <v>0</v>
      </c>
      <c r="D15" s="68">
        <f>D10+D11-D13-D38</f>
        <v>-18617.599999999999</v>
      </c>
      <c r="E15" s="68">
        <f>E10+E11-E13-E38</f>
        <v>-1938</v>
      </c>
      <c r="F15" s="68">
        <f>F10+F11-F13-F38</f>
        <v>2240.7999999999997</v>
      </c>
      <c r="G15" s="68">
        <f>G10+G11-G13-G38</f>
        <v>4163.6000000000004</v>
      </c>
      <c r="H15" s="68">
        <f>H10+H11-H13-H38</f>
        <v>5323.1803928678219</v>
      </c>
      <c r="I15" s="68">
        <f>I10+I11-I13-I38</f>
        <v>13593.409960116231</v>
      </c>
      <c r="J15" s="68">
        <f>J10+J11-J13-J38</f>
        <v>-25355.113792704164</v>
      </c>
      <c r="K15" s="68">
        <f>K10+K11-K13-K38</f>
        <v>59296.150167285341</v>
      </c>
      <c r="L15" s="68">
        <f>L10+L11-L13-L38</f>
        <v>138331.2814485397</v>
      </c>
      <c r="M15" s="68">
        <f>M10+M11-M13-M38</f>
        <v>136274.2272471787</v>
      </c>
      <c r="N15" s="68">
        <f>N10+N11-N13-N38</f>
        <v>110179.60986801416</v>
      </c>
      <c r="O15" s="68">
        <f>O10+O11-O13-O38</f>
        <v>83402.797933216076</v>
      </c>
      <c r="P15" s="68">
        <f>P10+P11-P13-P38</f>
        <v>57770.215276868723</v>
      </c>
    </row>
    <row r="16" spans="2:16" x14ac:dyDescent="0.2">
      <c r="B16" s="35" t="s">
        <v>82</v>
      </c>
      <c r="C16" s="45"/>
      <c r="D16" s="117"/>
      <c r="E16" s="117"/>
      <c r="F16" s="117"/>
      <c r="G16" s="117"/>
      <c r="H16" s="47">
        <f>(1+C57)^(H5-G5)</f>
        <v>1.1091114214107745</v>
      </c>
      <c r="I16" s="47">
        <f>(1+C57)^(I5-G5)</f>
        <v>1.2301281451038286</v>
      </c>
      <c r="J16" s="47">
        <f>(1+C57)^(J5-G5)</f>
        <v>1.3643491755335069</v>
      </c>
      <c r="K16" s="47">
        <f>(1+C57)^(K5-G5)</f>
        <v>1.5132152533765861</v>
      </c>
      <c r="L16" s="47">
        <f>(1+C57)^(L5-G5)</f>
        <v>1.6783243205729708</v>
      </c>
      <c r="M16" s="47">
        <f>(1+C57)^(M5-G5)</f>
        <v>1.8614486727789599</v>
      </c>
      <c r="N16" s="47">
        <f>(1+C57)^(N5-G5)</f>
        <v>2.064553983349072</v>
      </c>
      <c r="O16" s="47">
        <f>(1+C57)^(O5-G5)</f>
        <v>2.2898204030515656</v>
      </c>
      <c r="P16" s="47">
        <f>(1+C57)^(P5-G5)</f>
        <v>2.5396659620039146</v>
      </c>
    </row>
    <row r="17" spans="2:16" ht="16" thickBot="1" x14ac:dyDescent="0.25">
      <c r="B17" s="36" t="s">
        <v>45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118">
        <f>H15/H16</f>
        <v>4799.500113430272</v>
      </c>
      <c r="I17" s="118">
        <f t="shared" ref="I17:P17" si="11">I15/I16</f>
        <v>11050.40154899381</v>
      </c>
      <c r="J17" s="118">
        <f t="shared" si="11"/>
        <v>-18584.035705368056</v>
      </c>
      <c r="K17" s="118">
        <f t="shared" si="11"/>
        <v>39185.535590506377</v>
      </c>
      <c r="L17" s="118">
        <f t="shared" si="11"/>
        <v>82422.258768981046</v>
      </c>
      <c r="M17" s="118">
        <f t="shared" si="11"/>
        <v>73208.694518412201</v>
      </c>
      <c r="N17" s="118">
        <f t="shared" si="11"/>
        <v>53367.270004382895</v>
      </c>
      <c r="O17" s="118">
        <f t="shared" si="11"/>
        <v>36423.292334223246</v>
      </c>
      <c r="P17" s="118">
        <f t="shared" si="11"/>
        <v>22747.170746536027</v>
      </c>
    </row>
    <row r="18" spans="2:16" ht="16" thickBo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6" ht="14" customHeight="1" x14ac:dyDescent="0.2">
      <c r="B19" s="26" t="s">
        <v>29</v>
      </c>
      <c r="C19" s="16" t="s">
        <v>0</v>
      </c>
      <c r="D19" s="16"/>
      <c r="E19" s="16"/>
      <c r="F19" s="16"/>
      <c r="G19" s="16"/>
      <c r="H19" s="17" t="s">
        <v>1</v>
      </c>
      <c r="I19" s="17"/>
      <c r="J19" s="17"/>
      <c r="K19" s="17"/>
      <c r="L19" s="17"/>
      <c r="M19" s="17"/>
      <c r="N19" s="17"/>
      <c r="O19" s="17"/>
      <c r="P19" s="18"/>
    </row>
    <row r="20" spans="2:16" ht="14" customHeight="1" x14ac:dyDescent="0.2">
      <c r="B20" s="27"/>
      <c r="C20" s="14"/>
      <c r="D20" s="14"/>
      <c r="E20" s="14"/>
      <c r="F20" s="14"/>
      <c r="G20" s="14"/>
      <c r="H20" s="15"/>
      <c r="I20" s="15"/>
      <c r="J20" s="15"/>
      <c r="K20" s="15"/>
      <c r="L20" s="15"/>
      <c r="M20" s="15"/>
      <c r="N20" s="15"/>
      <c r="O20" s="15"/>
      <c r="P20" s="19"/>
    </row>
    <row r="21" spans="2:16" ht="14" customHeight="1" x14ac:dyDescent="0.2">
      <c r="B21" s="27"/>
      <c r="C21" s="14"/>
      <c r="D21" s="14"/>
      <c r="E21" s="14"/>
      <c r="F21" s="14"/>
      <c r="G21" s="14"/>
      <c r="H21" s="15"/>
      <c r="I21" s="15"/>
      <c r="J21" s="15"/>
      <c r="K21" s="15"/>
      <c r="L21" s="15"/>
      <c r="M21" s="15"/>
      <c r="N21" s="15"/>
      <c r="O21" s="15"/>
      <c r="P21" s="19"/>
    </row>
    <row r="22" spans="2:16" ht="16" x14ac:dyDescent="0.2">
      <c r="B22" s="20"/>
      <c r="C22" s="21">
        <v>2019</v>
      </c>
      <c r="D22" s="21">
        <v>2020</v>
      </c>
      <c r="E22" s="21">
        <v>2021</v>
      </c>
      <c r="F22" s="21">
        <f t="shared" ref="F22:M22" si="12">E22+1</f>
        <v>2022</v>
      </c>
      <c r="G22" s="21">
        <f t="shared" si="12"/>
        <v>2023</v>
      </c>
      <c r="H22" s="21">
        <f>G22+1</f>
        <v>2024</v>
      </c>
      <c r="I22" s="21">
        <f t="shared" si="12"/>
        <v>2025</v>
      </c>
      <c r="J22" s="21">
        <f t="shared" si="12"/>
        <v>2026</v>
      </c>
      <c r="K22" s="21">
        <f t="shared" si="12"/>
        <v>2027</v>
      </c>
      <c r="L22" s="21">
        <f t="shared" si="12"/>
        <v>2028</v>
      </c>
      <c r="M22" s="21">
        <f t="shared" si="12"/>
        <v>2029</v>
      </c>
      <c r="N22" s="10">
        <v>2030</v>
      </c>
      <c r="O22" s="10">
        <v>2031</v>
      </c>
      <c r="P22" s="11">
        <v>2032</v>
      </c>
    </row>
    <row r="23" spans="2:16" ht="16" x14ac:dyDescent="0.2">
      <c r="B23" s="29" t="s">
        <v>24</v>
      </c>
      <c r="C23" s="32">
        <v>3266</v>
      </c>
      <c r="D23" s="32">
        <v>1955</v>
      </c>
      <c r="E23" s="32">
        <v>2641</v>
      </c>
      <c r="F23" s="32">
        <v>2517</v>
      </c>
      <c r="G23" s="32">
        <v>2649</v>
      </c>
      <c r="H23" s="28">
        <f>((G23-F23)/2)+G23</f>
        <v>2715</v>
      </c>
      <c r="I23" s="28">
        <f>I24*I6</f>
        <v>3391.6285353940666</v>
      </c>
      <c r="J23" s="28">
        <f>J24*J6</f>
        <v>7692.4313083317402</v>
      </c>
      <c r="K23" s="28">
        <f>K24*K6</f>
        <v>13035.39861814966</v>
      </c>
      <c r="L23" s="28">
        <f>L24*L6</f>
        <v>18387.513790718236</v>
      </c>
      <c r="M23" s="28">
        <f>M24*M6</f>
        <v>22978.565102828165</v>
      </c>
      <c r="N23" s="28">
        <f>N24*N6</f>
        <v>25640.981723855213</v>
      </c>
      <c r="O23" s="28">
        <f>O24*O6</f>
        <v>26934.966638125326</v>
      </c>
      <c r="P23" s="28">
        <f>P24*P6</f>
        <v>28188.254637685892</v>
      </c>
    </row>
    <row r="24" spans="2:16" ht="16" x14ac:dyDescent="0.2">
      <c r="B24" s="23" t="s">
        <v>30</v>
      </c>
      <c r="C24" s="102">
        <f>C23/C6</f>
        <v>4.2659909350958085E-2</v>
      </c>
      <c r="D24" s="102">
        <f>D23/D6</f>
        <v>3.3615323773169642E-2</v>
      </c>
      <c r="E24" s="102">
        <f>E23/E6</f>
        <v>4.240118164595575E-2</v>
      </c>
      <c r="F24" s="102">
        <f>F23/F6</f>
        <v>3.7788253663223637E-2</v>
      </c>
      <c r="G24" s="102">
        <f>G23/G6</f>
        <v>3.4051469264981878E-2</v>
      </c>
      <c r="H24" s="102">
        <f>AVERAGE(C24:G24)</f>
        <v>3.8103227539657794E-2</v>
      </c>
      <c r="I24" s="102">
        <f t="shared" ref="I24:P24" si="13">AVERAGE(D24:H24)</f>
        <v>3.719189117739774E-2</v>
      </c>
      <c r="J24" s="102">
        <f t="shared" si="13"/>
        <v>3.7907204658243356E-2</v>
      </c>
      <c r="K24" s="102">
        <f t="shared" si="13"/>
        <v>3.7008409260700877E-2</v>
      </c>
      <c r="L24" s="102">
        <f t="shared" si="13"/>
        <v>3.6852440380196326E-2</v>
      </c>
      <c r="M24" s="102">
        <f t="shared" si="13"/>
        <v>3.7412634603239223E-2</v>
      </c>
      <c r="N24" s="102">
        <f t="shared" si="13"/>
        <v>3.7274516015955508E-2</v>
      </c>
      <c r="O24" s="102">
        <f t="shared" si="13"/>
        <v>3.7291040983667055E-2</v>
      </c>
      <c r="P24" s="102">
        <f t="shared" si="13"/>
        <v>3.7167808248751801E-2</v>
      </c>
    </row>
    <row r="25" spans="2:16" ht="16" x14ac:dyDescent="0.2">
      <c r="B25" s="29" t="s">
        <v>33</v>
      </c>
      <c r="C25" s="32">
        <v>76622</v>
      </c>
      <c r="D25" s="32">
        <v>81715</v>
      </c>
      <c r="E25" s="32">
        <v>78823</v>
      </c>
      <c r="F25" s="32">
        <v>78151</v>
      </c>
      <c r="G25" s="32">
        <v>79741</v>
      </c>
      <c r="H25" s="28">
        <f>H6*H26</f>
        <v>80500.315749584304</v>
      </c>
      <c r="I25" s="28">
        <f>I6*I26</f>
        <v>72954.150553230866</v>
      </c>
      <c r="J25" s="28">
        <f>J6*J26</f>
        <v>147032.18593536841</v>
      </c>
      <c r="K25" s="28">
        <f>K6*K26</f>
        <v>221903.65091306166</v>
      </c>
      <c r="L25" s="28">
        <f>L6*L26</f>
        <v>259453.84003149011</v>
      </c>
      <c r="M25" s="28">
        <f>M6*M26</f>
        <v>285599.58116101177</v>
      </c>
      <c r="N25" s="28">
        <f>N6*N26</f>
        <v>300954.39735246397</v>
      </c>
      <c r="O25" s="28">
        <f>O6*O26</f>
        <v>306070.6221074558</v>
      </c>
      <c r="P25" s="28">
        <f>P6*P26</f>
        <v>303362.03253128368</v>
      </c>
    </row>
    <row r="26" spans="2:16" ht="16" x14ac:dyDescent="0.2">
      <c r="B26" s="23" t="s">
        <v>30</v>
      </c>
      <c r="C26" s="102">
        <f>C25/C6</f>
        <v>1.0008228947609032</v>
      </c>
      <c r="D26" s="102">
        <f>D25/D6</f>
        <v>1.4050517555624333</v>
      </c>
      <c r="E26" s="102">
        <f>E25/E6</f>
        <v>1.2655010756831391</v>
      </c>
      <c r="F26" s="102">
        <f>F25/F6</f>
        <v>1.1732975018015854</v>
      </c>
      <c r="G26" s="102">
        <f>G25/G6</f>
        <v>1.0250276370928348</v>
      </c>
      <c r="H26" s="101">
        <f>((G26-F26)/2)+G26</f>
        <v>0.95089270473845955</v>
      </c>
      <c r="I26" s="101">
        <v>0.8</v>
      </c>
      <c r="J26" s="101">
        <f t="shared" ref="J26:O26" si="14">((I26-H26)/2)+I26</f>
        <v>0.72455364763077035</v>
      </c>
      <c r="K26" s="101">
        <v>0.63</v>
      </c>
      <c r="L26" s="101">
        <v>0.52</v>
      </c>
      <c r="M26" s="101">
        <f t="shared" si="14"/>
        <v>0.46500000000000002</v>
      </c>
      <c r="N26" s="101">
        <f t="shared" si="14"/>
        <v>0.4375</v>
      </c>
      <c r="O26" s="101">
        <f t="shared" si="14"/>
        <v>0.42374999999999996</v>
      </c>
      <c r="P26" s="116">
        <v>0.4</v>
      </c>
    </row>
    <row r="27" spans="2:16" ht="16" x14ac:dyDescent="0.2">
      <c r="B27" s="29" t="s">
        <v>35</v>
      </c>
      <c r="C27" s="32">
        <f>3106 + 86</f>
        <v>3192</v>
      </c>
      <c r="D27" s="32">
        <f>683 + 4286</f>
        <v>4969</v>
      </c>
      <c r="E27" s="32">
        <f>2221+77</f>
        <v>2298</v>
      </c>
      <c r="F27" s="32">
        <f>63+ 2847</f>
        <v>2910</v>
      </c>
      <c r="G27" s="32">
        <f>59+2504</f>
        <v>2563</v>
      </c>
      <c r="H27" s="28">
        <f>H6*H28</f>
        <v>3285.1833240050105</v>
      </c>
      <c r="I27" s="28">
        <f>I6*I28</f>
        <v>4579.6881097187597</v>
      </c>
      <c r="J27" s="28">
        <f>J6*J28</f>
        <v>8059.5746834062311</v>
      </c>
      <c r="K27" s="28">
        <f>K6*K28</f>
        <v>15183.696414766837</v>
      </c>
      <c r="L27" s="28">
        <f>L6*L28</f>
        <v>20705.15266096815</v>
      </c>
      <c r="M27" s="28">
        <f>M6*M28</f>
        <v>25047.852627741639</v>
      </c>
      <c r="N27" s="28">
        <f>N6*N28</f>
        <v>30199.778042737304</v>
      </c>
      <c r="O27" s="28">
        <f>O6*O28</f>
        <v>29956.520487901544</v>
      </c>
      <c r="P27" s="28">
        <f>P6*P28</f>
        <v>32092.923937065174</v>
      </c>
    </row>
    <row r="28" spans="2:16" ht="16" x14ac:dyDescent="0.2">
      <c r="B28" s="23" t="s">
        <v>30</v>
      </c>
      <c r="C28" s="102">
        <f>C27/C6</f>
        <v>4.1693334552436685E-2</v>
      </c>
      <c r="D28" s="102">
        <f>D27/D6</f>
        <v>8.5439664362598436E-2</v>
      </c>
      <c r="E28" s="102">
        <f>E27/E6</f>
        <v>3.6894326172815718E-2</v>
      </c>
      <c r="F28" s="102">
        <f>F27/F6</f>
        <v>4.3688445832332452E-2</v>
      </c>
      <c r="G28" s="102">
        <f>G27/G6</f>
        <v>3.2945985551584955E-2</v>
      </c>
      <c r="H28" s="102">
        <f>AVERAGE(C28,E28,F28,G28)</f>
        <v>3.8805523027292455E-2</v>
      </c>
      <c r="I28" s="102">
        <f t="shared" ref="I28:P28" si="15">AVERAGE(D28,F28,G28,H28)</f>
        <v>5.0219904693452076E-2</v>
      </c>
      <c r="J28" s="102">
        <f t="shared" si="15"/>
        <v>3.9716434861286301E-2</v>
      </c>
      <c r="K28" s="102">
        <f t="shared" si="15"/>
        <v>4.3107577103590825E-2</v>
      </c>
      <c r="L28" s="102">
        <f t="shared" si="15"/>
        <v>4.1497475552478541E-2</v>
      </c>
      <c r="M28" s="102">
        <f t="shared" si="15"/>
        <v>4.078175263616203E-2</v>
      </c>
      <c r="N28" s="102">
        <f t="shared" si="15"/>
        <v>4.3901677496420863E-2</v>
      </c>
      <c r="O28" s="102">
        <f t="shared" si="15"/>
        <v>4.1474335136586937E-2</v>
      </c>
      <c r="P28" s="102">
        <f t="shared" si="15"/>
        <v>4.231633559319016E-2</v>
      </c>
    </row>
    <row r="29" spans="2:16" ht="16" x14ac:dyDescent="0.2">
      <c r="B29" s="33" t="s">
        <v>25</v>
      </c>
      <c r="C29" s="32">
        <v>15553</v>
      </c>
      <c r="D29" s="32">
        <v>12928</v>
      </c>
      <c r="E29" s="32">
        <v>9261</v>
      </c>
      <c r="F29" s="32">
        <v>10200</v>
      </c>
      <c r="G29" s="32">
        <v>11964</v>
      </c>
      <c r="H29" s="32">
        <f>H6*H30</f>
        <v>12856.971126907545</v>
      </c>
      <c r="I29" s="32">
        <f>I6*I30</f>
        <v>13946.272644263212</v>
      </c>
      <c r="J29" s="32">
        <f>J6*J30</f>
        <v>31020.439637821088</v>
      </c>
      <c r="K29" s="32">
        <f>K6*K30</f>
        <v>53734.31344196701</v>
      </c>
      <c r="L29" s="32">
        <f>L6*L30</f>
        <v>76231.479640980338</v>
      </c>
      <c r="M29" s="32">
        <f>M6*M30</f>
        <v>93808.443927016226</v>
      </c>
      <c r="N29" s="32">
        <f>N6*N30</f>
        <v>105035.70725288356</v>
      </c>
      <c r="O29" s="32">
        <f>O6*O30</f>
        <v>110320.19667079534</v>
      </c>
      <c r="P29" s="32">
        <f>P6*P30</f>
        <v>115824.24677057295</v>
      </c>
    </row>
    <row r="30" spans="2:16" ht="16" x14ac:dyDescent="0.2">
      <c r="B30" s="24" t="s">
        <v>30</v>
      </c>
      <c r="C30" s="102">
        <f>C29/C6</f>
        <v>0.2031505113703157</v>
      </c>
      <c r="D30" s="102">
        <f>D29/D6</f>
        <v>0.22229100037827987</v>
      </c>
      <c r="E30" s="102">
        <f>E29/E6</f>
        <v>0.14868509777478084</v>
      </c>
      <c r="F30" s="102">
        <f>F29/F6</f>
        <v>0.15313475858755704</v>
      </c>
      <c r="G30" s="102">
        <f>G29/G6</f>
        <v>0.15379078078000874</v>
      </c>
      <c r="H30" s="102">
        <f>AVERAGE(E30:G30)</f>
        <v>0.15187021238078222</v>
      </c>
      <c r="I30" s="102">
        <f t="shared" ref="I30:P30" si="16">AVERAGE(F30:H30)</f>
        <v>0.15293191724944932</v>
      </c>
      <c r="J30" s="102">
        <f t="shared" si="16"/>
        <v>0.15286430347008009</v>
      </c>
      <c r="K30" s="102">
        <f t="shared" si="16"/>
        <v>0.15255547770010389</v>
      </c>
      <c r="L30" s="102">
        <f t="shared" si="16"/>
        <v>0.15278389947321111</v>
      </c>
      <c r="M30" s="102">
        <f t="shared" si="16"/>
        <v>0.15273456021446505</v>
      </c>
      <c r="N30" s="102">
        <f t="shared" si="16"/>
        <v>0.15269131246259335</v>
      </c>
      <c r="O30" s="102">
        <f t="shared" si="16"/>
        <v>0.15273659071675649</v>
      </c>
      <c r="P30" s="102">
        <f t="shared" si="16"/>
        <v>0.15272082113127164</v>
      </c>
    </row>
    <row r="31" spans="2:16" ht="16" x14ac:dyDescent="0.2">
      <c r="B31" s="33" t="s">
        <v>36</v>
      </c>
      <c r="C31" s="32">
        <v>22868</v>
      </c>
      <c r="D31" s="32">
        <v>22171</v>
      </c>
      <c r="E31" s="32">
        <v>18455</v>
      </c>
      <c r="F31" s="32">
        <v>21581</v>
      </c>
      <c r="G31" s="32">
        <v>22331</v>
      </c>
      <c r="H31" s="32">
        <f>H6*H32</f>
        <v>25525.233131333687</v>
      </c>
      <c r="I31" s="32">
        <f>I6*H32</f>
        <v>27495.629500704763</v>
      </c>
      <c r="J31" s="32">
        <f>J6*I32</f>
        <v>65636.262406302791</v>
      </c>
      <c r="K31" s="32">
        <f>K6*J32</f>
        <v>106399.71682209024</v>
      </c>
      <c r="L31" s="32">
        <f>L6*K32</f>
        <v>156050.73816533262</v>
      </c>
      <c r="M31" s="32">
        <f>M6*L32</f>
        <v>188147.75807764917</v>
      </c>
      <c r="N31" s="32">
        <f>N6*M32</f>
        <v>210269.01328648743</v>
      </c>
      <c r="O31" s="32">
        <f>O6*N32</f>
        <v>225392.20075598592</v>
      </c>
      <c r="P31" s="32">
        <f>P6*O32</f>
        <v>232476.10217470696</v>
      </c>
    </row>
    <row r="32" spans="2:16" ht="16" x14ac:dyDescent="0.2">
      <c r="B32" s="24" t="s">
        <v>30</v>
      </c>
      <c r="C32" s="102">
        <f>C31/C6</f>
        <v>0.29869773638631641</v>
      </c>
      <c r="D32" s="102">
        <f>D31/D6</f>
        <v>0.38122012448846249</v>
      </c>
      <c r="E32" s="102">
        <f>E31/E6</f>
        <v>0.29629451241049354</v>
      </c>
      <c r="F32" s="102">
        <f>F31/F6</f>
        <v>0.32400012010569301</v>
      </c>
      <c r="G32" s="102">
        <f>G31/G6</f>
        <v>0.28705298609147234</v>
      </c>
      <c r="H32" s="102">
        <f>AVERAGE(E32:G32,C32)</f>
        <v>0.30151133874849384</v>
      </c>
      <c r="I32" s="102">
        <f t="shared" ref="I32:P32" si="17">AVERAGE(F32:H32,D32)</f>
        <v>0.32344614235853042</v>
      </c>
      <c r="J32" s="102">
        <f t="shared" si="17"/>
        <v>0.30207624490224749</v>
      </c>
      <c r="K32" s="102">
        <f t="shared" si="17"/>
        <v>0.31275846152874121</v>
      </c>
      <c r="L32" s="102">
        <f t="shared" si="17"/>
        <v>0.30633345872024786</v>
      </c>
      <c r="M32" s="102">
        <f t="shared" si="17"/>
        <v>0.30566987597493261</v>
      </c>
      <c r="N32" s="102">
        <f t="shared" si="17"/>
        <v>0.31205198464561301</v>
      </c>
      <c r="O32" s="102">
        <f t="shared" si="17"/>
        <v>0.30653289106076026</v>
      </c>
      <c r="P32" s="102">
        <f t="shared" si="17"/>
        <v>0.30925330330251177</v>
      </c>
    </row>
    <row r="33" spans="2:16" ht="16" x14ac:dyDescent="0.2">
      <c r="B33" s="33" t="s">
        <v>38</v>
      </c>
      <c r="C33" s="32">
        <v>51551</v>
      </c>
      <c r="D33" s="32">
        <v>50488</v>
      </c>
      <c r="E33" s="32">
        <v>52980</v>
      </c>
      <c r="F33" s="32">
        <v>53018</v>
      </c>
      <c r="G33" s="32">
        <v>56328</v>
      </c>
      <c r="H33" s="32">
        <f>H6*G34</f>
        <v>61297.716622400869</v>
      </c>
      <c r="I33" s="32">
        <f>H6*I34</f>
        <v>68084.475196492029</v>
      </c>
      <c r="J33" s="32">
        <f>I6*J34</f>
        <v>72175.02995078906</v>
      </c>
      <c r="K33" s="32">
        <f>J6*K34</f>
        <v>158208.53565444698</v>
      </c>
      <c r="L33" s="32">
        <f>K6*L34</f>
        <v>273456.03790404164</v>
      </c>
      <c r="M33" s="32">
        <f>L6*M34</f>
        <v>392583.48629887542</v>
      </c>
      <c r="N33" s="32">
        <f>M6*N34</f>
        <v>483799.46232847136</v>
      </c>
      <c r="O33" s="32">
        <f>N6*O34</f>
        <v>539580.74760222773</v>
      </c>
      <c r="P33" s="32">
        <f>O6*P34</f>
        <v>565539.45640549308</v>
      </c>
    </row>
    <row r="34" spans="2:16" ht="16" x14ac:dyDescent="0.2">
      <c r="B34" s="24" t="s">
        <v>30</v>
      </c>
      <c r="C34" s="102">
        <f>C33/C6</f>
        <v>0.67334996538617276</v>
      </c>
      <c r="D34" s="102">
        <f>D33/D6</f>
        <v>0.86811788575948279</v>
      </c>
      <c r="E34" s="102">
        <f>E33/E6</f>
        <v>0.85059242847509875</v>
      </c>
      <c r="F34" s="102">
        <f>F33/F6</f>
        <v>0.7959704539995196</v>
      </c>
      <c r="G34" s="102">
        <f>G33/G6</f>
        <v>0.72406612335141529</v>
      </c>
      <c r="H34" s="102">
        <f>AVERAGE(C34:G34)</f>
        <v>0.78241937139433793</v>
      </c>
      <c r="I34" s="102">
        <f t="shared" ref="I34:P34" si="18">AVERAGE(D34:H34)</f>
        <v>0.804233252595971</v>
      </c>
      <c r="J34" s="102">
        <f t="shared" si="18"/>
        <v>0.79145632596326843</v>
      </c>
      <c r="K34" s="102">
        <f t="shared" si="18"/>
        <v>0.77962910546090236</v>
      </c>
      <c r="L34" s="102">
        <f t="shared" si="18"/>
        <v>0.77636083575317905</v>
      </c>
      <c r="M34" s="102">
        <f t="shared" si="18"/>
        <v>0.78681977823353166</v>
      </c>
      <c r="N34" s="102">
        <f t="shared" si="18"/>
        <v>0.78769985960137057</v>
      </c>
      <c r="O34" s="102">
        <f t="shared" si="18"/>
        <v>0.78439318100245037</v>
      </c>
      <c r="P34" s="102">
        <f t="shared" si="18"/>
        <v>0.78298055201028682</v>
      </c>
    </row>
    <row r="35" spans="2:16" ht="16" x14ac:dyDescent="0.2">
      <c r="B35" s="33" t="s">
        <v>37</v>
      </c>
      <c r="C35" s="32">
        <v>413</v>
      </c>
      <c r="D35" s="32">
        <v>1010</v>
      </c>
      <c r="E35" s="32">
        <v>218</v>
      </c>
      <c r="F35" s="32">
        <v>230</v>
      </c>
      <c r="G35" s="32">
        <v>229</v>
      </c>
      <c r="H35" s="32">
        <f>H6*H36</f>
        <v>323.62972460750194</v>
      </c>
      <c r="I35" s="32">
        <f>I6*I36</f>
        <v>628.91040829426208</v>
      </c>
      <c r="J35" s="32">
        <f>J6*J36</f>
        <v>870.7112085918593</v>
      </c>
      <c r="K35" s="32">
        <f>K6*K36</f>
        <v>1625.8040796310986</v>
      </c>
      <c r="L35" s="32">
        <f>L6*L36</f>
        <v>2338.4131048227491</v>
      </c>
      <c r="M35" s="32">
        <f>M6*M36</f>
        <v>2674.1932618577844</v>
      </c>
      <c r="N35" s="32">
        <f>N6*N36</f>
        <v>3534.5702002076605</v>
      </c>
      <c r="O35" s="32">
        <f>O6*O36</f>
        <v>3335.1124291412098</v>
      </c>
      <c r="P35" s="32">
        <f>P6*P36</f>
        <v>3550.3625432362005</v>
      </c>
    </row>
    <row r="36" spans="2:16" ht="16" x14ac:dyDescent="0.2">
      <c r="B36" s="24" t="s">
        <v>31</v>
      </c>
      <c r="C36" s="102">
        <f>C35/C6</f>
        <v>5.3945323214775534E-3</v>
      </c>
      <c r="D36" s="102">
        <f>D35/D6</f>
        <v>1.7366484404553115E-2</v>
      </c>
      <c r="E36" s="102">
        <f>E35/E6</f>
        <v>3.4999839450277751E-3</v>
      </c>
      <c r="F36" s="102">
        <f>F35/F6</f>
        <v>3.453038674033149E-3</v>
      </c>
      <c r="G36" s="102">
        <f>G35/G6</f>
        <v>2.9436717484638917E-3</v>
      </c>
      <c r="H36" s="103">
        <f>AVERAGE(C36,E36:G36)</f>
        <v>3.8228066722505922E-3</v>
      </c>
      <c r="I36" s="103">
        <f t="shared" ref="I36:P36" si="19">AVERAGE(D36,F36:H36)</f>
        <v>6.8965003748251864E-3</v>
      </c>
      <c r="J36" s="103">
        <f t="shared" si="19"/>
        <v>4.2907406851418611E-3</v>
      </c>
      <c r="K36" s="103">
        <f t="shared" si="19"/>
        <v>4.6157716015626966E-3</v>
      </c>
      <c r="L36" s="103">
        <f t="shared" si="19"/>
        <v>4.686671102498409E-3</v>
      </c>
      <c r="M36" s="103">
        <f t="shared" si="19"/>
        <v>4.3539975153633892E-3</v>
      </c>
      <c r="N36" s="103">
        <f t="shared" si="19"/>
        <v>5.1382351485624207E-3</v>
      </c>
      <c r="O36" s="103">
        <f t="shared" si="19"/>
        <v>4.61741111289152E-3</v>
      </c>
      <c r="P36" s="103">
        <f t="shared" si="19"/>
        <v>4.6813538445950069E-3</v>
      </c>
    </row>
    <row r="37" spans="2:16" ht="16" x14ac:dyDescent="0.2">
      <c r="B37" s="37" t="s">
        <v>26</v>
      </c>
      <c r="C37" s="28">
        <f>SUM(C23,C25,C27)-SUM(C29,C31,C33,C35)</f>
        <v>-7305</v>
      </c>
      <c r="D37" s="28">
        <f>SUM(D23,D25,D27)-SUM(D29,D31,D33,D35)</f>
        <v>2042</v>
      </c>
      <c r="E37" s="28">
        <f>SUM(E23,E25,E27)-SUM(E29,E31,E33,E35)</f>
        <v>2848</v>
      </c>
      <c r="F37" s="28">
        <f>SUM(F23,F25,F27)-SUM(F29,F31,F33,F35)</f>
        <v>-1451</v>
      </c>
      <c r="G37" s="28">
        <f>SUM(G23,G25,G27)-SUM(G29,G31,G33,G35)</f>
        <v>-5899</v>
      </c>
      <c r="H37" s="28">
        <f>SUM(H23,H25,H27)-SUM(H29,H31,H33,H35)</f>
        <v>-13503.051531660298</v>
      </c>
      <c r="I37" s="28">
        <f>SUM(I23,I25,I27)-SUM(I29,I31,I33,I35)</f>
        <v>-29229.820551410579</v>
      </c>
      <c r="J37" s="28">
        <f>SUM(J23,J25,J27)-SUM(J29,J31,J33,J35)</f>
        <v>-6918.2512763983686</v>
      </c>
      <c r="K37" s="28">
        <f>SUM(K23,K25,K27)-SUM(K29,K31,K33,K35)</f>
        <v>-69845.624052157218</v>
      </c>
      <c r="L37" s="28">
        <f>SUM(L23,L25,L27)-SUM(L29,L31,L33,L35)</f>
        <v>-209530.16233200085</v>
      </c>
      <c r="M37" s="28">
        <f>SUM(M23,M25,M27)-SUM(M29,M31,M33,M35)</f>
        <v>-343587.88267381699</v>
      </c>
      <c r="N37" s="28">
        <f>SUM(N23,N25,N27)-SUM(N29,N31,N33,N35)</f>
        <v>-445843.59594899358</v>
      </c>
      <c r="O37" s="28">
        <f>SUM(O23,O25,O27)-SUM(O29,O31,O33,O35)</f>
        <v>-515666.14822466753</v>
      </c>
      <c r="P37" s="28">
        <f>SUM(P23,P25,P27)-SUM(P29,P31,P33,P35)</f>
        <v>-553746.95678797457</v>
      </c>
    </row>
    <row r="38" spans="2:16" ht="17" thickBot="1" x14ac:dyDescent="0.25">
      <c r="B38" s="38" t="s">
        <v>32</v>
      </c>
      <c r="C38" s="25"/>
      <c r="D38" s="115">
        <f>D37-C37</f>
        <v>9347</v>
      </c>
      <c r="E38" s="115">
        <f t="shared" ref="E38:O38" si="20">E37-D37</f>
        <v>806</v>
      </c>
      <c r="F38" s="115">
        <f t="shared" si="20"/>
        <v>-4299</v>
      </c>
      <c r="G38" s="115">
        <f t="shared" si="20"/>
        <v>-4448</v>
      </c>
      <c r="H38" s="115">
        <f t="shared" si="20"/>
        <v>-7604.0515316602978</v>
      </c>
      <c r="I38" s="115">
        <f t="shared" si="20"/>
        <v>-15726.769019750282</v>
      </c>
      <c r="J38" s="115">
        <f>J37-I37</f>
        <v>22311.569275012211</v>
      </c>
      <c r="K38" s="115">
        <f t="shared" si="20"/>
        <v>-62927.372775758849</v>
      </c>
      <c r="L38" s="115">
        <f t="shared" si="20"/>
        <v>-139684.53827984363</v>
      </c>
      <c r="M38" s="115">
        <f t="shared" si="20"/>
        <v>-134057.72034181614</v>
      </c>
      <c r="N38" s="115">
        <f t="shared" si="20"/>
        <v>-102255.71327517659</v>
      </c>
      <c r="O38" s="115">
        <f t="shared" si="20"/>
        <v>-69822.552275673952</v>
      </c>
      <c r="P38" s="115">
        <f>P37-O37</f>
        <v>-38080.808563307044</v>
      </c>
    </row>
    <row r="40" spans="2:16" ht="16" thickBot="1" x14ac:dyDescent="0.25"/>
    <row r="41" spans="2:16" ht="16" thickBot="1" x14ac:dyDescent="0.25">
      <c r="B41" s="104" t="s">
        <v>81</v>
      </c>
      <c r="C41" s="105"/>
    </row>
    <row r="42" spans="2:16" x14ac:dyDescent="0.2">
      <c r="B42" s="35" t="s">
        <v>2</v>
      </c>
      <c r="C42" s="106">
        <v>178.51</v>
      </c>
    </row>
    <row r="43" spans="2:16" x14ac:dyDescent="0.2">
      <c r="B43" s="35" t="s">
        <v>3</v>
      </c>
      <c r="C43" s="107">
        <v>613.88</v>
      </c>
    </row>
    <row r="44" spans="2:16" x14ac:dyDescent="0.2">
      <c r="B44" s="35" t="s">
        <v>4</v>
      </c>
      <c r="C44" s="107">
        <f>C42*C43</f>
        <v>109583.71879999999</v>
      </c>
    </row>
    <row r="45" spans="2:16" x14ac:dyDescent="0.2">
      <c r="B45" s="35" t="s">
        <v>5</v>
      </c>
      <c r="C45" s="107">
        <v>52307</v>
      </c>
    </row>
    <row r="46" spans="2:16" x14ac:dyDescent="0.2">
      <c r="B46" s="35" t="s">
        <v>6</v>
      </c>
      <c r="C46" s="73">
        <f>C44/(C44+C45)</f>
        <v>0.67689932821522569</v>
      </c>
    </row>
    <row r="47" spans="2:16" x14ac:dyDescent="0.2">
      <c r="B47" s="35" t="s">
        <v>7</v>
      </c>
      <c r="C47" s="73">
        <f>1-C46</f>
        <v>0.32310067178477431</v>
      </c>
    </row>
    <row r="48" spans="2:16" x14ac:dyDescent="0.2">
      <c r="B48" s="35"/>
      <c r="C48" s="12"/>
    </row>
    <row r="49" spans="2:3" x14ac:dyDescent="0.2">
      <c r="B49" s="35" t="s">
        <v>8</v>
      </c>
      <c r="C49" s="108">
        <v>4.3099999999999999E-2</v>
      </c>
    </row>
    <row r="50" spans="2:3" x14ac:dyDescent="0.2">
      <c r="B50" s="35" t="s">
        <v>9</v>
      </c>
      <c r="C50" s="109">
        <v>1.65</v>
      </c>
    </row>
    <row r="51" spans="2:3" x14ac:dyDescent="0.2">
      <c r="B51" s="35" t="s">
        <v>10</v>
      </c>
      <c r="C51" s="108">
        <v>0.06</v>
      </c>
    </row>
    <row r="52" spans="2:3" x14ac:dyDescent="0.2">
      <c r="B52" s="35" t="s">
        <v>11</v>
      </c>
      <c r="C52" s="108">
        <f>C49+C50*C51</f>
        <v>0.1421</v>
      </c>
    </row>
    <row r="53" spans="2:3" x14ac:dyDescent="0.2">
      <c r="B53" s="35"/>
      <c r="C53" s="12"/>
    </row>
    <row r="54" spans="2:3" x14ac:dyDescent="0.2">
      <c r="B54" s="35" t="s">
        <v>12</v>
      </c>
      <c r="C54" s="108">
        <v>0.05</v>
      </c>
    </row>
    <row r="55" spans="2:3" x14ac:dyDescent="0.2">
      <c r="B55" s="35" t="s">
        <v>13</v>
      </c>
      <c r="C55" s="108">
        <v>0.2</v>
      </c>
    </row>
    <row r="56" spans="2:3" ht="15" customHeight="1" x14ac:dyDescent="0.2">
      <c r="B56" s="35"/>
      <c r="C56" s="12"/>
    </row>
    <row r="57" spans="2:3" ht="14" customHeight="1" x14ac:dyDescent="0.2">
      <c r="B57" s="110" t="s">
        <v>14</v>
      </c>
      <c r="C57" s="111">
        <f>C52*C46+C54*(1-C55)*C47</f>
        <v>0.10911142141077455</v>
      </c>
    </row>
    <row r="58" spans="2:3" ht="14" customHeight="1" thickBot="1" x14ac:dyDescent="0.25">
      <c r="B58" s="36"/>
      <c r="C58" s="13"/>
    </row>
    <row r="59" spans="2:3" ht="14" customHeight="1" x14ac:dyDescent="0.2"/>
    <row r="60" spans="2:3" ht="14" customHeight="1" thickBot="1" x14ac:dyDescent="0.25"/>
    <row r="61" spans="2:3" ht="14" customHeight="1" thickBot="1" x14ac:dyDescent="0.25">
      <c r="B61" s="104" t="s">
        <v>15</v>
      </c>
      <c r="C61" s="105"/>
    </row>
    <row r="62" spans="2:3" ht="14" customHeight="1" x14ac:dyDescent="0.2">
      <c r="B62" s="35" t="s">
        <v>16</v>
      </c>
      <c r="C62" s="108">
        <v>0.05</v>
      </c>
    </row>
    <row r="63" spans="2:3" ht="14" customHeight="1" x14ac:dyDescent="0.2">
      <c r="B63" s="35" t="s">
        <v>17</v>
      </c>
      <c r="C63" s="107">
        <v>22747</v>
      </c>
    </row>
    <row r="64" spans="2:3" ht="14" customHeight="1" x14ac:dyDescent="0.2">
      <c r="B64" s="35" t="s">
        <v>18</v>
      </c>
      <c r="C64" s="107">
        <f>C63/(1+C57)^13</f>
        <v>5918.9792691135553</v>
      </c>
    </row>
    <row r="65" spans="1:4" ht="14" customHeight="1" x14ac:dyDescent="0.2">
      <c r="B65" s="35" t="s">
        <v>27</v>
      </c>
      <c r="C65" s="107">
        <f>SUM(H17:P17)</f>
        <v>304620.08792009781</v>
      </c>
    </row>
    <row r="66" spans="1:4" ht="14" customHeight="1" x14ac:dyDescent="0.2">
      <c r="B66" s="35" t="s">
        <v>19</v>
      </c>
      <c r="C66" s="107">
        <f>SUM(C64:C65)</f>
        <v>310539.06718921138</v>
      </c>
    </row>
    <row r="67" spans="1:4" ht="14" customHeight="1" x14ac:dyDescent="0.2">
      <c r="B67" s="35"/>
      <c r="C67" s="12"/>
    </row>
    <row r="68" spans="1:4" ht="15" customHeight="1" x14ac:dyDescent="0.2">
      <c r="B68" s="35" t="s">
        <v>20</v>
      </c>
      <c r="C68" s="107">
        <f>C66-C$52</f>
        <v>310538.92508921138</v>
      </c>
    </row>
    <row r="69" spans="1:4" x14ac:dyDescent="0.2">
      <c r="B69" s="35" t="s">
        <v>3</v>
      </c>
      <c r="C69" s="107">
        <v>614</v>
      </c>
    </row>
    <row r="70" spans="1:4" x14ac:dyDescent="0.2">
      <c r="B70" s="35"/>
      <c r="C70" s="12"/>
    </row>
    <row r="71" spans="1:4" x14ac:dyDescent="0.2">
      <c r="B71" s="110" t="s">
        <v>21</v>
      </c>
      <c r="C71" s="112">
        <f>C68/C69</f>
        <v>505.76372164366671</v>
      </c>
    </row>
    <row r="72" spans="1:4" x14ac:dyDescent="0.2">
      <c r="B72" s="35" t="s">
        <v>22</v>
      </c>
      <c r="C72" s="113">
        <f>(C71-C42)/C42</f>
        <v>1.8332514797135553</v>
      </c>
    </row>
    <row r="73" spans="1:4" ht="16" thickBot="1" x14ac:dyDescent="0.25">
      <c r="B73" s="36"/>
      <c r="C73" s="13"/>
    </row>
    <row r="75" spans="1:4" x14ac:dyDescent="0.2">
      <c r="A75" s="64"/>
      <c r="B75" s="64"/>
      <c r="C75" s="64"/>
      <c r="D75" s="64"/>
    </row>
    <row r="76" spans="1:4" x14ac:dyDescent="0.2">
      <c r="A76" s="64"/>
      <c r="B76" s="119"/>
      <c r="C76" s="119"/>
      <c r="D76" s="64"/>
    </row>
    <row r="77" spans="1:4" x14ac:dyDescent="0.2">
      <c r="A77" s="64"/>
      <c r="B77" s="64"/>
      <c r="C77" s="120"/>
      <c r="D77" s="64"/>
    </row>
    <row r="78" spans="1:4" x14ac:dyDescent="0.2">
      <c r="A78" s="64"/>
      <c r="B78" s="64"/>
      <c r="C78" s="121"/>
      <c r="D78" s="64"/>
    </row>
    <row r="79" spans="1:4" x14ac:dyDescent="0.2">
      <c r="A79" s="64"/>
      <c r="B79" s="64"/>
      <c r="C79" s="121"/>
      <c r="D79" s="64"/>
    </row>
    <row r="80" spans="1:4" x14ac:dyDescent="0.2">
      <c r="A80" s="64"/>
      <c r="B80" s="64"/>
      <c r="C80" s="121"/>
      <c r="D80" s="64"/>
    </row>
    <row r="81" spans="1:4" x14ac:dyDescent="0.2">
      <c r="A81" s="64"/>
      <c r="B81" s="64"/>
      <c r="C81" s="121"/>
      <c r="D81" s="64"/>
    </row>
    <row r="82" spans="1:4" x14ac:dyDescent="0.2">
      <c r="A82" s="64"/>
      <c r="B82" s="64"/>
      <c r="C82" s="64"/>
      <c r="D82" s="64"/>
    </row>
    <row r="83" spans="1:4" x14ac:dyDescent="0.2">
      <c r="A83" s="64"/>
      <c r="B83" s="64"/>
      <c r="C83" s="121"/>
      <c r="D83" s="64"/>
    </row>
    <row r="84" spans="1:4" x14ac:dyDescent="0.2">
      <c r="A84" s="64"/>
      <c r="B84" s="64"/>
      <c r="C84" s="121"/>
      <c r="D84" s="64"/>
    </row>
    <row r="85" spans="1:4" x14ac:dyDescent="0.2">
      <c r="A85" s="64"/>
      <c r="B85" s="64"/>
      <c r="C85" s="64"/>
      <c r="D85" s="64"/>
    </row>
    <row r="86" spans="1:4" x14ac:dyDescent="0.2">
      <c r="A86" s="64"/>
      <c r="B86" s="122"/>
      <c r="C86" s="123"/>
      <c r="D86" s="64"/>
    </row>
    <row r="87" spans="1:4" x14ac:dyDescent="0.2">
      <c r="A87" s="64"/>
      <c r="B87" s="64"/>
      <c r="C87" s="124"/>
      <c r="D87" s="64"/>
    </row>
    <row r="88" spans="1:4" x14ac:dyDescent="0.2">
      <c r="A88" s="64"/>
      <c r="B88" s="64"/>
      <c r="C88" s="64"/>
      <c r="D88" s="64"/>
    </row>
  </sheetData>
  <mergeCells count="9">
    <mergeCell ref="B41:C41"/>
    <mergeCell ref="B61:C61"/>
    <mergeCell ref="B76:C76"/>
    <mergeCell ref="B2:B4"/>
    <mergeCell ref="C2:G4"/>
    <mergeCell ref="H2:P4"/>
    <mergeCell ref="B19:B21"/>
    <mergeCell ref="C19:G21"/>
    <mergeCell ref="H19:P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Build (Base)</vt:lpstr>
      <vt:lpstr>DCF (Base)</vt:lpstr>
      <vt:lpstr>Revenue Build (Bear)</vt:lpstr>
      <vt:lpstr>DCF (Bear)</vt:lpstr>
      <vt:lpstr>Revenue Build (Bull)</vt:lpstr>
      <vt:lpstr>DCF (Bull)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Sibo Wang</dc:creator>
  <cp:lastModifiedBy>Aadarsh Agarwal</cp:lastModifiedBy>
  <dcterms:created xsi:type="dcterms:W3CDTF">2011-11-01T22:29:42Z</dcterms:created>
  <dcterms:modified xsi:type="dcterms:W3CDTF">2024-05-13T03:50:02Z</dcterms:modified>
</cp:coreProperties>
</file>