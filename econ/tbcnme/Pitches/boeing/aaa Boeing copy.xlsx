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xr:revisionPtr revIDLastSave="0" documentId="8_{11693E99-21D1-8A42-AFD4-E1F5E341E674}" xr6:coauthVersionLast="47" xr6:coauthVersionMax="47" xr10:uidLastSave="{00000000-0000-0000-0000-000000000000}"/>
  <bookViews>
    <workbookView xWindow="0" yWindow="780" windowWidth="30720" windowHeight="17500" activeTab="6" xr2:uid="{BDB37F0B-DA0E-684D-912D-268C2995D520}"/>
  </bookViews>
  <sheets>
    <sheet name="Assumptions" sheetId="6" r:id="rId1"/>
    <sheet name="Revenue Build" sheetId="11" r:id="rId2"/>
    <sheet name="Income Statement" sheetId="2" r:id="rId3"/>
    <sheet name="Balance Sheet" sheetId="1" r:id="rId4"/>
    <sheet name="Cash Flow Statement" sheetId="10" r:id="rId5"/>
    <sheet name="--------&gt;" sheetId="4" r:id="rId6"/>
    <sheet name="DCF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" i="5" l="1"/>
  <c r="F44" i="5"/>
  <c r="F47" i="5" s="1"/>
  <c r="F43" i="5"/>
  <c r="F46" i="5" s="1"/>
  <c r="D31" i="5"/>
  <c r="F31" i="5" s="1"/>
  <c r="L27" i="5"/>
  <c r="J27" i="5"/>
  <c r="J26" i="5"/>
  <c r="L26" i="5" s="1"/>
  <c r="J25" i="5"/>
  <c r="L25" i="5" s="1"/>
  <c r="L24" i="5"/>
  <c r="J24" i="5"/>
  <c r="H23" i="5"/>
  <c r="J23" i="5" s="1"/>
  <c r="L23" i="5" s="1"/>
  <c r="L22" i="5"/>
  <c r="J22" i="5"/>
  <c r="M58" i="10"/>
  <c r="F58" i="10"/>
  <c r="E58" i="10"/>
  <c r="Q53" i="10"/>
  <c r="P53" i="10"/>
  <c r="P58" i="10" s="1"/>
  <c r="O53" i="10"/>
  <c r="N53" i="10"/>
  <c r="M53" i="10"/>
  <c r="L53" i="10"/>
  <c r="K53" i="10"/>
  <c r="J53" i="10"/>
  <c r="I53" i="10"/>
  <c r="H53" i="10"/>
  <c r="H58" i="10" s="1"/>
  <c r="G53" i="10"/>
  <c r="Q48" i="10"/>
  <c r="Q58" i="10" s="1"/>
  <c r="P48" i="10"/>
  <c r="O48" i="10"/>
  <c r="O58" i="10" s="1"/>
  <c r="N48" i="10"/>
  <c r="N58" i="10" s="1"/>
  <c r="M48" i="10"/>
  <c r="L48" i="10"/>
  <c r="L58" i="10" s="1"/>
  <c r="K48" i="10"/>
  <c r="K58" i="10" s="1"/>
  <c r="J48" i="10"/>
  <c r="J58" i="10" s="1"/>
  <c r="I48" i="10"/>
  <c r="I58" i="10" s="1"/>
  <c r="H48" i="10"/>
  <c r="G48" i="10"/>
  <c r="G58" i="10" s="1"/>
  <c r="F43" i="10"/>
  <c r="E43" i="10"/>
  <c r="Q35" i="10"/>
  <c r="P35" i="10"/>
  <c r="O35" i="10"/>
  <c r="N35" i="10"/>
  <c r="M35" i="10"/>
  <c r="L35" i="10"/>
  <c r="K35" i="10"/>
  <c r="J35" i="10"/>
  <c r="I35" i="10"/>
  <c r="F30" i="10"/>
  <c r="F62" i="10" s="1"/>
  <c r="E30" i="10"/>
  <c r="E62" i="10" s="1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M9" i="10"/>
  <c r="K9" i="10"/>
  <c r="J9" i="10"/>
  <c r="I9" i="10"/>
  <c r="H9" i="10"/>
  <c r="G9" i="10"/>
  <c r="G17" i="1" s="1"/>
  <c r="H17" i="1" s="1"/>
  <c r="F58" i="1"/>
  <c r="E56" i="1"/>
  <c r="F53" i="1"/>
  <c r="E53" i="1"/>
  <c r="G50" i="1"/>
  <c r="G49" i="1"/>
  <c r="G48" i="1"/>
  <c r="F41" i="1"/>
  <c r="F43" i="1" s="1"/>
  <c r="F56" i="1" s="1"/>
  <c r="E41" i="1"/>
  <c r="G38" i="1"/>
  <c r="F33" i="1"/>
  <c r="E33" i="1"/>
  <c r="E43" i="1" s="1"/>
  <c r="E22" i="1"/>
  <c r="F20" i="1"/>
  <c r="F22" i="1" s="1"/>
  <c r="E20" i="1"/>
  <c r="I17" i="1"/>
  <c r="J17" i="1" s="1"/>
  <c r="K17" i="1" s="1"/>
  <c r="L17" i="1" s="1"/>
  <c r="M17" i="1" s="1"/>
  <c r="N17" i="1" s="1"/>
  <c r="G15" i="1"/>
  <c r="F12" i="1"/>
  <c r="E12" i="1"/>
  <c r="G7" i="1"/>
  <c r="H35" i="10" s="1"/>
  <c r="G24" i="2"/>
  <c r="F24" i="2"/>
  <c r="E24" i="2"/>
  <c r="H22" i="2"/>
  <c r="H21" i="2"/>
  <c r="G15" i="2"/>
  <c r="G17" i="2" s="1"/>
  <c r="G26" i="2" s="1"/>
  <c r="G30" i="2" s="1"/>
  <c r="G32" i="2" s="1"/>
  <c r="F15" i="2"/>
  <c r="E15" i="2"/>
  <c r="R14" i="2"/>
  <c r="Q14" i="2"/>
  <c r="P14" i="2"/>
  <c r="O14" i="2"/>
  <c r="N14" i="2"/>
  <c r="M14" i="2"/>
  <c r="I14" i="2"/>
  <c r="H14" i="2"/>
  <c r="H12" i="2"/>
  <c r="H9" i="2"/>
  <c r="H23" i="2" s="1"/>
  <c r="G9" i="2"/>
  <c r="F9" i="2"/>
  <c r="F17" i="2" s="1"/>
  <c r="F26" i="2" s="1"/>
  <c r="F30" i="2" s="1"/>
  <c r="F32" i="2" s="1"/>
  <c r="E9" i="2"/>
  <c r="O31" i="11"/>
  <c r="N31" i="11"/>
  <c r="M31" i="11"/>
  <c r="L31" i="11"/>
  <c r="K31" i="11"/>
  <c r="J31" i="11"/>
  <c r="I31" i="11"/>
  <c r="H31" i="11"/>
  <c r="G31" i="11"/>
  <c r="F31" i="11"/>
  <c r="E31" i="11"/>
  <c r="E21" i="11"/>
  <c r="E20" i="11"/>
  <c r="E24" i="11" s="1"/>
  <c r="E18" i="11"/>
  <c r="E15" i="11"/>
  <c r="E14" i="11"/>
  <c r="E16" i="11" s="1"/>
  <c r="E8" i="11"/>
  <c r="E10" i="11" s="1"/>
  <c r="N7" i="11"/>
  <c r="L7" i="11"/>
  <c r="H7" i="11"/>
  <c r="G7" i="11"/>
  <c r="F7" i="11"/>
  <c r="E6" i="11"/>
  <c r="P121" i="6"/>
  <c r="O121" i="6"/>
  <c r="N121" i="6"/>
  <c r="M121" i="6"/>
  <c r="L121" i="6"/>
  <c r="K121" i="6"/>
  <c r="J121" i="6"/>
  <c r="I121" i="6"/>
  <c r="H121" i="6"/>
  <c r="G121" i="6"/>
  <c r="F121" i="6"/>
  <c r="G120" i="6"/>
  <c r="F20" i="11" s="1"/>
  <c r="P115" i="6"/>
  <c r="O115" i="6"/>
  <c r="N115" i="6"/>
  <c r="M115" i="6"/>
  <c r="L115" i="6"/>
  <c r="K115" i="6"/>
  <c r="J115" i="6"/>
  <c r="I115" i="6"/>
  <c r="H115" i="6"/>
  <c r="G115" i="6"/>
  <c r="F115" i="6"/>
  <c r="G114" i="6" s="1"/>
  <c r="P109" i="6"/>
  <c r="O109" i="6"/>
  <c r="N109" i="6"/>
  <c r="M109" i="6"/>
  <c r="L109" i="6"/>
  <c r="K109" i="6"/>
  <c r="J109" i="6"/>
  <c r="I109" i="6"/>
  <c r="H109" i="6"/>
  <c r="G109" i="6"/>
  <c r="F109" i="6"/>
  <c r="G108" i="6" s="1"/>
  <c r="F15" i="11" s="1"/>
  <c r="P100" i="6"/>
  <c r="O7" i="11" s="1"/>
  <c r="O100" i="6"/>
  <c r="N100" i="6"/>
  <c r="M7" i="11" s="1"/>
  <c r="M100" i="6"/>
  <c r="L100" i="6"/>
  <c r="K7" i="11" s="1"/>
  <c r="K100" i="6"/>
  <c r="J7" i="11" s="1"/>
  <c r="J100" i="6"/>
  <c r="I7" i="11" s="1"/>
  <c r="I100" i="6"/>
  <c r="H100" i="6"/>
  <c r="G100" i="6"/>
  <c r="F100" i="6"/>
  <c r="E7" i="11" s="1"/>
  <c r="P95" i="6"/>
  <c r="O95" i="6"/>
  <c r="N95" i="6"/>
  <c r="M95" i="6"/>
  <c r="L95" i="6"/>
  <c r="K95" i="6"/>
  <c r="J95" i="6"/>
  <c r="I95" i="6"/>
  <c r="H95" i="6"/>
  <c r="G95" i="6"/>
  <c r="J75" i="6" s="1"/>
  <c r="J77" i="6" s="1"/>
  <c r="I21" i="2" s="1"/>
  <c r="F95" i="6"/>
  <c r="I75" i="6" s="1"/>
  <c r="I77" i="6" s="1"/>
  <c r="S86" i="6"/>
  <c r="R86" i="6"/>
  <c r="Q86" i="6"/>
  <c r="M86" i="6"/>
  <c r="L86" i="6"/>
  <c r="K86" i="6"/>
  <c r="J86" i="6"/>
  <c r="I86" i="6"/>
  <c r="H86" i="6"/>
  <c r="G86" i="6"/>
  <c r="P86" i="6" s="1"/>
  <c r="H78" i="6"/>
  <c r="H77" i="6"/>
  <c r="J76" i="6"/>
  <c r="I76" i="6"/>
  <c r="H76" i="6"/>
  <c r="H75" i="6"/>
  <c r="S69" i="6"/>
  <c r="Q9" i="10" s="1"/>
  <c r="R69" i="6"/>
  <c r="P9" i="10" s="1"/>
  <c r="Q69" i="6"/>
  <c r="O9" i="10" s="1"/>
  <c r="P69" i="6"/>
  <c r="N9" i="10" s="1"/>
  <c r="O69" i="6"/>
  <c r="N69" i="6"/>
  <c r="L9" i="10" s="1"/>
  <c r="J67" i="6"/>
  <c r="J68" i="6" s="1"/>
  <c r="I67" i="6"/>
  <c r="I68" i="6" s="1"/>
  <c r="M66" i="6"/>
  <c r="L14" i="2" s="1"/>
  <c r="J66" i="6"/>
  <c r="I66" i="6"/>
  <c r="N65" i="6"/>
  <c r="M65" i="6"/>
  <c r="L65" i="6"/>
  <c r="K65" i="6"/>
  <c r="J65" i="6"/>
  <c r="I65" i="6"/>
  <c r="H62" i="6"/>
  <c r="I58" i="6" s="1"/>
  <c r="I59" i="6"/>
  <c r="G39" i="10" s="1"/>
  <c r="G12" i="5" s="1"/>
  <c r="H55" i="6"/>
  <c r="I55" i="6" s="1"/>
  <c r="H48" i="6"/>
  <c r="G48" i="6"/>
  <c r="H44" i="6"/>
  <c r="S40" i="6"/>
  <c r="R40" i="6"/>
  <c r="Q40" i="6"/>
  <c r="P40" i="6"/>
  <c r="O40" i="6"/>
  <c r="N40" i="6"/>
  <c r="M40" i="6"/>
  <c r="L40" i="6"/>
  <c r="K40" i="6"/>
  <c r="J40" i="6"/>
  <c r="I40" i="6"/>
  <c r="H40" i="6"/>
  <c r="P29" i="6"/>
  <c r="H29" i="6"/>
  <c r="G29" i="6"/>
  <c r="H26" i="6"/>
  <c r="G26" i="6"/>
  <c r="O25" i="6"/>
  <c r="N25" i="6"/>
  <c r="H25" i="6"/>
  <c r="G25" i="6"/>
  <c r="S24" i="6"/>
  <c r="R24" i="6"/>
  <c r="N24" i="6"/>
  <c r="M24" i="6"/>
  <c r="L24" i="6"/>
  <c r="K24" i="6"/>
  <c r="J24" i="6"/>
  <c r="H24" i="6"/>
  <c r="G24" i="6"/>
  <c r="Q24" i="6" s="1"/>
  <c r="Q23" i="6"/>
  <c r="P23" i="6"/>
  <c r="O23" i="6"/>
  <c r="I23" i="6"/>
  <c r="H23" i="6"/>
  <c r="G23" i="6"/>
  <c r="N22" i="6"/>
  <c r="M22" i="6"/>
  <c r="L22" i="6"/>
  <c r="H22" i="6"/>
  <c r="G22" i="6"/>
  <c r="S22" i="6" s="1"/>
  <c r="H19" i="6"/>
  <c r="G19" i="6"/>
  <c r="S16" i="6"/>
  <c r="N16" i="6"/>
  <c r="M16" i="6"/>
  <c r="L16" i="6"/>
  <c r="K16" i="6"/>
  <c r="H16" i="6"/>
  <c r="G16" i="6"/>
  <c r="R16" i="6" s="1"/>
  <c r="H15" i="6"/>
  <c r="G15" i="6"/>
  <c r="S14" i="6"/>
  <c r="R14" i="6"/>
  <c r="N14" i="6"/>
  <c r="M14" i="6"/>
  <c r="L14" i="6"/>
  <c r="K14" i="6"/>
  <c r="J14" i="6"/>
  <c r="G8" i="1" s="1"/>
  <c r="G20" i="10" s="1"/>
  <c r="H14" i="6"/>
  <c r="G14" i="6"/>
  <c r="Q14" i="6" s="1"/>
  <c r="H9" i="6"/>
  <c r="G9" i="6"/>
  <c r="F9" i="6"/>
  <c r="H8" i="6"/>
  <c r="G8" i="6"/>
  <c r="H7" i="6"/>
  <c r="G7" i="6"/>
  <c r="F24" i="11" l="1"/>
  <c r="E26" i="11"/>
  <c r="M29" i="6"/>
  <c r="K29" i="6"/>
  <c r="J29" i="6"/>
  <c r="L29" i="6"/>
  <c r="S29" i="6"/>
  <c r="R29" i="6"/>
  <c r="Q29" i="6"/>
  <c r="I29" i="6"/>
  <c r="K66" i="6"/>
  <c r="J14" i="2" s="1"/>
  <c r="G94" i="6"/>
  <c r="H108" i="6"/>
  <c r="N23" i="6"/>
  <c r="L23" i="6"/>
  <c r="M23" i="6"/>
  <c r="S23" i="6"/>
  <c r="K23" i="6"/>
  <c r="R23" i="6"/>
  <c r="J23" i="6"/>
  <c r="N29" i="6"/>
  <c r="H120" i="6"/>
  <c r="I39" i="6"/>
  <c r="J55" i="6"/>
  <c r="O17" i="1"/>
  <c r="P17" i="1" s="1"/>
  <c r="Q17" i="1" s="1"/>
  <c r="L25" i="6"/>
  <c r="S25" i="6"/>
  <c r="K25" i="6"/>
  <c r="R25" i="6"/>
  <c r="J25" i="6"/>
  <c r="Q25" i="6"/>
  <c r="I25" i="6"/>
  <c r="P25" i="6"/>
  <c r="M25" i="6"/>
  <c r="O29" i="6"/>
  <c r="E17" i="2"/>
  <c r="E26" i="2" s="1"/>
  <c r="E30" i="2" s="1"/>
  <c r="E32" i="2" s="1"/>
  <c r="F8" i="6"/>
  <c r="F7" i="6"/>
  <c r="L28" i="5"/>
  <c r="H31" i="5" s="1"/>
  <c r="F38" i="5" s="1"/>
  <c r="F39" i="5" s="1"/>
  <c r="F51" i="5" s="1"/>
  <c r="G35" i="10"/>
  <c r="O22" i="6"/>
  <c r="L66" i="6"/>
  <c r="K14" i="2" s="1"/>
  <c r="L68" i="6"/>
  <c r="O16" i="6"/>
  <c r="M68" i="6"/>
  <c r="I22" i="6"/>
  <c r="E58" i="1"/>
  <c r="P14" i="6"/>
  <c r="I16" i="6"/>
  <c r="Q16" i="6"/>
  <c r="J22" i="6"/>
  <c r="R22" i="6"/>
  <c r="P24" i="6"/>
  <c r="H114" i="6"/>
  <c r="F21" i="11"/>
  <c r="F22" i="11" s="1"/>
  <c r="J43" i="6" s="1"/>
  <c r="P22" i="6"/>
  <c r="O14" i="6"/>
  <c r="P16" i="6"/>
  <c r="Q22" i="6"/>
  <c r="O24" i="6"/>
  <c r="I14" i="6"/>
  <c r="J16" i="6"/>
  <c r="K22" i="6"/>
  <c r="I24" i="6"/>
  <c r="G29" i="1" s="1"/>
  <c r="N86" i="6"/>
  <c r="O86" i="6"/>
  <c r="E22" i="11"/>
  <c r="I43" i="6" s="1"/>
  <c r="H20" i="2"/>
  <c r="H24" i="2" s="1"/>
  <c r="G36" i="1"/>
  <c r="G41" i="1" s="1"/>
  <c r="G10" i="1" l="1"/>
  <c r="G21" i="11"/>
  <c r="I114" i="6"/>
  <c r="G20" i="11"/>
  <c r="G24" i="11" s="1"/>
  <c r="I120" i="6"/>
  <c r="M16" i="5"/>
  <c r="L16" i="5"/>
  <c r="J16" i="5"/>
  <c r="Q16" i="5"/>
  <c r="I16" i="5"/>
  <c r="P16" i="5"/>
  <c r="H16" i="5"/>
  <c r="O16" i="5"/>
  <c r="N16" i="5"/>
  <c r="K16" i="5"/>
  <c r="G16" i="5"/>
  <c r="G15" i="11"/>
  <c r="I108" i="6"/>
  <c r="I85" i="6"/>
  <c r="K76" i="6"/>
  <c r="F6" i="11"/>
  <c r="F8" i="11" s="1"/>
  <c r="F10" i="11" s="1"/>
  <c r="F14" i="11"/>
  <c r="H94" i="6"/>
  <c r="K75" i="6"/>
  <c r="K77" i="6" s="1"/>
  <c r="J21" i="2" s="1"/>
  <c r="G30" i="1"/>
  <c r="G25" i="10" s="1"/>
  <c r="G28" i="1"/>
  <c r="G24" i="10" s="1"/>
  <c r="K55" i="6"/>
  <c r="G28" i="10"/>
  <c r="G11" i="1"/>
  <c r="K68" i="6"/>
  <c r="H21" i="11" l="1"/>
  <c r="J114" i="6"/>
  <c r="L76" i="6"/>
  <c r="G14" i="11"/>
  <c r="G6" i="11"/>
  <c r="G8" i="11" s="1"/>
  <c r="G10" i="11" s="1"/>
  <c r="I94" i="6"/>
  <c r="L75" i="6"/>
  <c r="L77" i="6" s="1"/>
  <c r="K21" i="2" s="1"/>
  <c r="G22" i="11"/>
  <c r="K43" i="6" s="1"/>
  <c r="F16" i="11"/>
  <c r="F18" i="11"/>
  <c r="F26" i="11" s="1"/>
  <c r="L55" i="6"/>
  <c r="G21" i="10"/>
  <c r="H15" i="11"/>
  <c r="J108" i="6"/>
  <c r="E30" i="11"/>
  <c r="E32" i="11" s="1"/>
  <c r="E34" i="11" s="1"/>
  <c r="E36" i="11" s="1"/>
  <c r="G32" i="1"/>
  <c r="I87" i="6"/>
  <c r="G14" i="10" s="1"/>
  <c r="H20" i="11"/>
  <c r="H24" i="11" s="1"/>
  <c r="J120" i="6"/>
  <c r="I20" i="11" l="1"/>
  <c r="K120" i="6"/>
  <c r="H6" i="11"/>
  <c r="H8" i="11" s="1"/>
  <c r="H10" i="11" s="1"/>
  <c r="M76" i="6"/>
  <c r="H14" i="11"/>
  <c r="M75" i="6"/>
  <c r="M77" i="6" s="1"/>
  <c r="L21" i="2" s="1"/>
  <c r="J94" i="6"/>
  <c r="I88" i="6"/>
  <c r="G9" i="1" s="1"/>
  <c r="G18" i="11"/>
  <c r="G26" i="11" s="1"/>
  <c r="G16" i="11"/>
  <c r="K114" i="6"/>
  <c r="I21" i="11"/>
  <c r="I22" i="11" s="1"/>
  <c r="M43" i="6" s="1"/>
  <c r="G19" i="1"/>
  <c r="I54" i="6"/>
  <c r="J39" i="6"/>
  <c r="H11" i="1" s="1"/>
  <c r="J85" i="6"/>
  <c r="H22" i="11"/>
  <c r="L43" i="6" s="1"/>
  <c r="M55" i="6"/>
  <c r="I15" i="11"/>
  <c r="K108" i="6"/>
  <c r="G10" i="10" l="1"/>
  <c r="G10" i="5" s="1"/>
  <c r="I61" i="6"/>
  <c r="I62" i="6" s="1"/>
  <c r="H13" i="2"/>
  <c r="H15" i="2" s="1"/>
  <c r="G22" i="10"/>
  <c r="N55" i="6"/>
  <c r="I14" i="11"/>
  <c r="K94" i="6"/>
  <c r="I6" i="11"/>
  <c r="I8" i="11" s="1"/>
  <c r="I10" i="11" s="1"/>
  <c r="N76" i="6"/>
  <c r="N75" i="6"/>
  <c r="N77" i="6" s="1"/>
  <c r="M21" i="2" s="1"/>
  <c r="L114" i="6"/>
  <c r="J21" i="11"/>
  <c r="J22" i="11" s="1"/>
  <c r="N43" i="6" s="1"/>
  <c r="K85" i="6"/>
  <c r="K39" i="6"/>
  <c r="I11" i="1" s="1"/>
  <c r="J87" i="6"/>
  <c r="H14" i="10" s="1"/>
  <c r="L120" i="6"/>
  <c r="J20" i="11"/>
  <c r="J15" i="11"/>
  <c r="L108" i="6"/>
  <c r="H18" i="11"/>
  <c r="H26" i="11" s="1"/>
  <c r="H16" i="11"/>
  <c r="H32" i="1"/>
  <c r="F30" i="11"/>
  <c r="F32" i="11" s="1"/>
  <c r="F34" i="11" s="1"/>
  <c r="G38" i="10"/>
  <c r="G43" i="10" s="1"/>
  <c r="I24" i="11"/>
  <c r="K87" i="6" l="1"/>
  <c r="I14" i="10" s="1"/>
  <c r="K88" i="6"/>
  <c r="I9" i="1" s="1"/>
  <c r="O55" i="6"/>
  <c r="M108" i="6"/>
  <c r="K15" i="11"/>
  <c r="J24" i="11"/>
  <c r="G16" i="1"/>
  <c r="G20" i="1" s="1"/>
  <c r="J58" i="6"/>
  <c r="M114" i="6"/>
  <c r="K21" i="11"/>
  <c r="M120" i="6"/>
  <c r="K20" i="11"/>
  <c r="K24" i="11" s="1"/>
  <c r="L94" i="6"/>
  <c r="O75" i="6"/>
  <c r="J6" i="11"/>
  <c r="J8" i="11" s="1"/>
  <c r="J10" i="11" s="1"/>
  <c r="O76" i="6"/>
  <c r="J14" i="11"/>
  <c r="I8" i="2"/>
  <c r="F36" i="11"/>
  <c r="G27" i="1"/>
  <c r="H17" i="2"/>
  <c r="H26" i="2" s="1"/>
  <c r="J88" i="6"/>
  <c r="H9" i="1" s="1"/>
  <c r="L85" i="6"/>
  <c r="L39" i="6"/>
  <c r="J11" i="1" s="1"/>
  <c r="I32" i="1"/>
  <c r="G30" i="11"/>
  <c r="G32" i="11" s="1"/>
  <c r="G34" i="11" s="1"/>
  <c r="I16" i="11"/>
  <c r="I18" i="11"/>
  <c r="I26" i="11" s="1"/>
  <c r="J8" i="2" l="1"/>
  <c r="G36" i="11"/>
  <c r="N108" i="6"/>
  <c r="L15" i="11"/>
  <c r="G33" i="1"/>
  <c r="G43" i="1" s="1"/>
  <c r="G23" i="10"/>
  <c r="G11" i="5"/>
  <c r="H19" i="1"/>
  <c r="I9" i="2"/>
  <c r="J54" i="6"/>
  <c r="K22" i="11"/>
  <c r="O43" i="6" s="1"/>
  <c r="L21" i="11"/>
  <c r="N114" i="6"/>
  <c r="M85" i="6"/>
  <c r="M39" i="6"/>
  <c r="K11" i="1" s="1"/>
  <c r="N120" i="6"/>
  <c r="L20" i="11"/>
  <c r="L24" i="11" s="1"/>
  <c r="J18" i="11"/>
  <c r="J26" i="11" s="1"/>
  <c r="J16" i="11"/>
  <c r="J32" i="1"/>
  <c r="H30" i="11"/>
  <c r="H32" i="11" s="1"/>
  <c r="H34" i="11" s="1"/>
  <c r="P55" i="6"/>
  <c r="L87" i="6"/>
  <c r="J14" i="10" s="1"/>
  <c r="L88" i="6"/>
  <c r="J9" i="1" s="1"/>
  <c r="I38" i="10"/>
  <c r="H38" i="10"/>
  <c r="O77" i="6"/>
  <c r="N21" i="2" s="1"/>
  <c r="G5" i="5"/>
  <c r="H30" i="2"/>
  <c r="K14" i="11"/>
  <c r="M94" i="6"/>
  <c r="P75" i="6"/>
  <c r="K6" i="11"/>
  <c r="K8" i="11" s="1"/>
  <c r="K10" i="11" s="1"/>
  <c r="P76" i="6"/>
  <c r="L22" i="11" l="1"/>
  <c r="P43" i="6" s="1"/>
  <c r="N85" i="6"/>
  <c r="N39" i="6"/>
  <c r="L11" i="1" s="1"/>
  <c r="K8" i="2"/>
  <c r="H36" i="11"/>
  <c r="J38" i="10"/>
  <c r="I23" i="2"/>
  <c r="H36" i="1"/>
  <c r="H41" i="1" s="1"/>
  <c r="H8" i="1"/>
  <c r="J59" i="6"/>
  <c r="I20" i="2"/>
  <c r="I22" i="2"/>
  <c r="H10" i="1" s="1"/>
  <c r="I12" i="2"/>
  <c r="H29" i="1"/>
  <c r="H28" i="10" s="1"/>
  <c r="I19" i="1"/>
  <c r="J9" i="2"/>
  <c r="K54" i="6"/>
  <c r="P77" i="6"/>
  <c r="O21" i="2" s="1"/>
  <c r="L14" i="11"/>
  <c r="Q75" i="6"/>
  <c r="L6" i="11"/>
  <c r="L8" i="11" s="1"/>
  <c r="L10" i="11" s="1"/>
  <c r="N94" i="6"/>
  <c r="Q76" i="6"/>
  <c r="K18" i="11"/>
  <c r="K26" i="11" s="1"/>
  <c r="K16" i="11"/>
  <c r="H31" i="2"/>
  <c r="H32" i="2" s="1"/>
  <c r="G7" i="5"/>
  <c r="G13" i="5" s="1"/>
  <c r="G17" i="5" s="1"/>
  <c r="M20" i="11"/>
  <c r="O120" i="6"/>
  <c r="I22" i="10"/>
  <c r="H22" i="10"/>
  <c r="M21" i="11"/>
  <c r="M22" i="11" s="1"/>
  <c r="Q43" i="6" s="1"/>
  <c r="O114" i="6"/>
  <c r="H10" i="10"/>
  <c r="H10" i="5" s="1"/>
  <c r="I13" i="2"/>
  <c r="J61" i="6"/>
  <c r="O108" i="6"/>
  <c r="M15" i="11"/>
  <c r="I30" i="11"/>
  <c r="I32" i="11" s="1"/>
  <c r="I34" i="11" s="1"/>
  <c r="K32" i="1"/>
  <c r="Q55" i="6"/>
  <c r="M87" i="6"/>
  <c r="K14" i="10" s="1"/>
  <c r="G51" i="1" l="1"/>
  <c r="G6" i="10"/>
  <c r="G30" i="10" s="1"/>
  <c r="G62" i="10" s="1"/>
  <c r="G6" i="1" s="1"/>
  <c r="H21" i="10"/>
  <c r="L8" i="2"/>
  <c r="I36" i="11"/>
  <c r="L18" i="11"/>
  <c r="L26" i="11" s="1"/>
  <c r="L16" i="11"/>
  <c r="I24" i="2"/>
  <c r="J19" i="1"/>
  <c r="K9" i="2"/>
  <c r="L54" i="6"/>
  <c r="M88" i="6"/>
  <c r="K9" i="1" s="1"/>
  <c r="N15" i="11"/>
  <c r="P108" i="6"/>
  <c r="O15" i="11" s="1"/>
  <c r="O85" i="6"/>
  <c r="O39" i="6"/>
  <c r="M11" i="1" s="1"/>
  <c r="H39" i="10"/>
  <c r="J62" i="6"/>
  <c r="L32" i="1"/>
  <c r="J30" i="11"/>
  <c r="J32" i="11" s="1"/>
  <c r="J34" i="11" s="1"/>
  <c r="H20" i="10"/>
  <c r="N87" i="6"/>
  <c r="L14" i="10" s="1"/>
  <c r="P120" i="6"/>
  <c r="O20" i="11" s="1"/>
  <c r="N20" i="11"/>
  <c r="I36" i="1"/>
  <c r="I41" i="1" s="1"/>
  <c r="J23" i="2"/>
  <c r="J22" i="2"/>
  <c r="I10" i="1" s="1"/>
  <c r="I21" i="10" s="1"/>
  <c r="J17" i="2"/>
  <c r="I8" i="1"/>
  <c r="K59" i="6"/>
  <c r="I39" i="10" s="1"/>
  <c r="J20" i="2"/>
  <c r="J12" i="2"/>
  <c r="J15" i="2" s="1"/>
  <c r="I27" i="1" s="1"/>
  <c r="I29" i="1"/>
  <c r="I28" i="10" s="1"/>
  <c r="R55" i="6"/>
  <c r="M24" i="11"/>
  <c r="M6" i="11"/>
  <c r="M8" i="11" s="1"/>
  <c r="M10" i="11" s="1"/>
  <c r="O94" i="6"/>
  <c r="M14" i="11"/>
  <c r="R75" i="6"/>
  <c r="R76" i="6"/>
  <c r="J22" i="10"/>
  <c r="J13" i="2"/>
  <c r="I10" i="10"/>
  <c r="I10" i="5" s="1"/>
  <c r="K61" i="6"/>
  <c r="P114" i="6"/>
  <c r="O21" i="11" s="1"/>
  <c r="O22" i="11" s="1"/>
  <c r="S43" i="6" s="1"/>
  <c r="N21" i="11"/>
  <c r="N22" i="11" s="1"/>
  <c r="R43" i="6" s="1"/>
  <c r="Q77" i="6"/>
  <c r="P21" i="2" s="1"/>
  <c r="I15" i="2"/>
  <c r="K19" i="1" l="1"/>
  <c r="L9" i="2"/>
  <c r="M54" i="6"/>
  <c r="S55" i="6"/>
  <c r="K38" i="10"/>
  <c r="N24" i="11"/>
  <c r="J10" i="10"/>
  <c r="J10" i="5" s="1"/>
  <c r="L61" i="6"/>
  <c r="K13" i="2"/>
  <c r="J24" i="2"/>
  <c r="O24" i="11"/>
  <c r="H16" i="1"/>
  <c r="H20" i="1" s="1"/>
  <c r="K58" i="6"/>
  <c r="K62" i="6" s="1"/>
  <c r="K22" i="2"/>
  <c r="J10" i="1" s="1"/>
  <c r="J21" i="10" s="1"/>
  <c r="J8" i="1"/>
  <c r="L59" i="6"/>
  <c r="J39" i="10" s="1"/>
  <c r="J36" i="1"/>
  <c r="J41" i="1" s="1"/>
  <c r="K12" i="2"/>
  <c r="K20" i="2"/>
  <c r="K23" i="2"/>
  <c r="J29" i="1"/>
  <c r="J28" i="10" s="1"/>
  <c r="R77" i="6"/>
  <c r="Q21" i="2" s="1"/>
  <c r="M16" i="11"/>
  <c r="M18" i="11"/>
  <c r="M26" i="11" s="1"/>
  <c r="S76" i="6"/>
  <c r="N14" i="11"/>
  <c r="S75" i="6"/>
  <c r="N6" i="11"/>
  <c r="N8" i="11" s="1"/>
  <c r="N10" i="11" s="1"/>
  <c r="P94" i="6"/>
  <c r="I12" i="5"/>
  <c r="I43" i="10"/>
  <c r="H12" i="5"/>
  <c r="H43" i="10"/>
  <c r="K22" i="10"/>
  <c r="H27" i="1"/>
  <c r="I23" i="10" s="1"/>
  <c r="I17" i="2"/>
  <c r="I26" i="2" s="1"/>
  <c r="M8" i="2"/>
  <c r="J36" i="11"/>
  <c r="J20" i="10"/>
  <c r="N88" i="6"/>
  <c r="L9" i="1" s="1"/>
  <c r="L38" i="10" s="1"/>
  <c r="K30" i="11"/>
  <c r="K32" i="11" s="1"/>
  <c r="K34" i="11" s="1"/>
  <c r="M32" i="1"/>
  <c r="H28" i="1"/>
  <c r="H24" i="10" s="1"/>
  <c r="H30" i="1"/>
  <c r="H25" i="10" s="1"/>
  <c r="G12" i="1"/>
  <c r="G22" i="1" s="1"/>
  <c r="J26" i="2"/>
  <c r="O87" i="6"/>
  <c r="M14" i="10" s="1"/>
  <c r="P39" i="6"/>
  <c r="N11" i="1" s="1"/>
  <c r="P85" i="6"/>
  <c r="G53" i="1"/>
  <c r="G56" i="1" s="1"/>
  <c r="I20" i="10"/>
  <c r="N16" i="11" l="1"/>
  <c r="N18" i="11"/>
  <c r="K15" i="2"/>
  <c r="I5" i="5"/>
  <c r="I7" i="5" s="1"/>
  <c r="J30" i="2"/>
  <c r="I30" i="1"/>
  <c r="I25" i="10" s="1"/>
  <c r="I28" i="1"/>
  <c r="H5" i="5"/>
  <c r="H7" i="5" s="1"/>
  <c r="I30" i="2"/>
  <c r="J12" i="5"/>
  <c r="J43" i="10"/>
  <c r="P88" i="6"/>
  <c r="N9" i="1" s="1"/>
  <c r="P87" i="6"/>
  <c r="N14" i="10" s="1"/>
  <c r="L30" i="11"/>
  <c r="L32" i="11" s="1"/>
  <c r="L34" i="11" s="1"/>
  <c r="N32" i="1"/>
  <c r="G58" i="1"/>
  <c r="L19" i="1"/>
  <c r="M9" i="2"/>
  <c r="N54" i="6"/>
  <c r="Q39" i="6"/>
  <c r="O11" i="1" s="1"/>
  <c r="Q85" i="6"/>
  <c r="O14" i="11"/>
  <c r="O6" i="11"/>
  <c r="O8" i="11" s="1"/>
  <c r="O10" i="11" s="1"/>
  <c r="K21" i="10"/>
  <c r="K10" i="10"/>
  <c r="K10" i="5" s="1"/>
  <c r="M61" i="6"/>
  <c r="L13" i="2"/>
  <c r="N8" i="2"/>
  <c r="K36" i="11"/>
  <c r="N26" i="11"/>
  <c r="L22" i="2"/>
  <c r="K10" i="1" s="1"/>
  <c r="K8" i="1"/>
  <c r="L12" i="2"/>
  <c r="L20" i="2"/>
  <c r="K36" i="1"/>
  <c r="K41" i="1" s="1"/>
  <c r="M59" i="6"/>
  <c r="K39" i="10" s="1"/>
  <c r="K12" i="5" s="1"/>
  <c r="L23" i="2"/>
  <c r="K29" i="1"/>
  <c r="H33" i="1"/>
  <c r="H43" i="1" s="1"/>
  <c r="H23" i="10"/>
  <c r="H11" i="5"/>
  <c r="I16" i="1"/>
  <c r="I20" i="1" s="1"/>
  <c r="L58" i="6"/>
  <c r="L62" i="6" s="1"/>
  <c r="O88" i="6"/>
  <c r="M9" i="1" s="1"/>
  <c r="N38" i="10" s="1"/>
  <c r="M38" i="10"/>
  <c r="S77" i="6"/>
  <c r="R21" i="2" s="1"/>
  <c r="K24" i="2"/>
  <c r="J28" i="1" l="1"/>
  <c r="J24" i="10" s="1"/>
  <c r="J30" i="1"/>
  <c r="J25" i="10" s="1"/>
  <c r="L10" i="10"/>
  <c r="L10" i="5" s="1"/>
  <c r="N61" i="6"/>
  <c r="M13" i="2"/>
  <c r="I31" i="2"/>
  <c r="I32" i="2"/>
  <c r="J16" i="1"/>
  <c r="J20" i="1" s="1"/>
  <c r="M58" i="6"/>
  <c r="M62" i="6" s="1"/>
  <c r="L22" i="10"/>
  <c r="L15" i="2"/>
  <c r="J31" i="2"/>
  <c r="J32" i="2" s="1"/>
  <c r="I6" i="10" s="1"/>
  <c r="I30" i="10" s="1"/>
  <c r="I62" i="10" s="1"/>
  <c r="K28" i="10"/>
  <c r="L36" i="1"/>
  <c r="L41" i="1" s="1"/>
  <c r="L8" i="1"/>
  <c r="M12" i="2"/>
  <c r="M22" i="2"/>
  <c r="L10" i="1" s="1"/>
  <c r="L21" i="10" s="1"/>
  <c r="M20" i="2"/>
  <c r="N59" i="6"/>
  <c r="L39" i="10" s="1"/>
  <c r="M23" i="2"/>
  <c r="L29" i="1"/>
  <c r="L28" i="10" s="1"/>
  <c r="O18" i="11"/>
  <c r="O26" i="11" s="1"/>
  <c r="O16" i="11"/>
  <c r="M19" i="1"/>
  <c r="N9" i="2"/>
  <c r="O54" i="6"/>
  <c r="K20" i="10"/>
  <c r="H13" i="5"/>
  <c r="H17" i="5" s="1"/>
  <c r="J27" i="1"/>
  <c r="K17" i="2"/>
  <c r="K26" i="2" s="1"/>
  <c r="K43" i="10"/>
  <c r="O8" i="2"/>
  <c r="L36" i="11"/>
  <c r="I24" i="10"/>
  <c r="I33" i="1"/>
  <c r="I43" i="1" s="1"/>
  <c r="I11" i="5"/>
  <c r="I13" i="5" s="1"/>
  <c r="I17" i="5" s="1"/>
  <c r="R39" i="6"/>
  <c r="P11" i="1" s="1"/>
  <c r="R85" i="6"/>
  <c r="L24" i="2"/>
  <c r="Q87" i="6"/>
  <c r="O14" i="10" s="1"/>
  <c r="O32" i="1"/>
  <c r="M30" i="11"/>
  <c r="M32" i="11" s="1"/>
  <c r="M34" i="11" s="1"/>
  <c r="M8" i="1" l="1"/>
  <c r="N20" i="2"/>
  <c r="M36" i="1"/>
  <c r="M41" i="1" s="1"/>
  <c r="O59" i="6"/>
  <c r="M39" i="10" s="1"/>
  <c r="N23" i="2"/>
  <c r="N12" i="2"/>
  <c r="N15" i="2" s="1"/>
  <c r="M27" i="1" s="1"/>
  <c r="N22" i="2"/>
  <c r="M10" i="1" s="1"/>
  <c r="M29" i="1"/>
  <c r="M28" i="10" s="1"/>
  <c r="Q88" i="6"/>
  <c r="O9" i="1" s="1"/>
  <c r="K30" i="2"/>
  <c r="J5" i="5"/>
  <c r="J7" i="5" s="1"/>
  <c r="M20" i="10"/>
  <c r="L20" i="10"/>
  <c r="H6" i="10"/>
  <c r="H30" i="10" s="1"/>
  <c r="H62" i="10" s="1"/>
  <c r="H6" i="1" s="1"/>
  <c r="H51" i="1"/>
  <c r="R87" i="6"/>
  <c r="P14" i="10" s="1"/>
  <c r="P8" i="2"/>
  <c r="M36" i="11"/>
  <c r="N13" i="2"/>
  <c r="O61" i="6"/>
  <c r="M10" i="10"/>
  <c r="M10" i="5" s="1"/>
  <c r="K27" i="1"/>
  <c r="L17" i="2"/>
  <c r="L26" i="2" s="1"/>
  <c r="O9" i="2"/>
  <c r="N19" i="1"/>
  <c r="P54" i="6"/>
  <c r="L12" i="5"/>
  <c r="L43" i="10"/>
  <c r="K28" i="1"/>
  <c r="K24" i="10" s="1"/>
  <c r="K30" i="1"/>
  <c r="K25" i="10" s="1"/>
  <c r="S85" i="6"/>
  <c r="S39" i="6"/>
  <c r="Q11" i="1" s="1"/>
  <c r="M24" i="2"/>
  <c r="K16" i="1"/>
  <c r="K20" i="1" s="1"/>
  <c r="N58" i="6"/>
  <c r="N62" i="6" s="1"/>
  <c r="M21" i="10"/>
  <c r="P32" i="1"/>
  <c r="N30" i="11"/>
  <c r="N32" i="11" s="1"/>
  <c r="N34" i="11" s="1"/>
  <c r="J23" i="10"/>
  <c r="J33" i="1"/>
  <c r="J43" i="1" s="1"/>
  <c r="J11" i="5"/>
  <c r="M15" i="2"/>
  <c r="M22" i="10"/>
  <c r="O58" i="6" l="1"/>
  <c r="O62" i="6" s="1"/>
  <c r="L16" i="1"/>
  <c r="L20" i="1" s="1"/>
  <c r="S87" i="6"/>
  <c r="Q14" i="10" s="1"/>
  <c r="S88" i="6"/>
  <c r="Q9" i="1" s="1"/>
  <c r="K5" i="5"/>
  <c r="K7" i="5" s="1"/>
  <c r="K13" i="5" s="1"/>
  <c r="K17" i="5" s="1"/>
  <c r="L30" i="2"/>
  <c r="J13" i="5"/>
  <c r="J17" i="5" s="1"/>
  <c r="M12" i="5"/>
  <c r="M43" i="10"/>
  <c r="P9" i="2"/>
  <c r="O19" i="1"/>
  <c r="Q54" i="6"/>
  <c r="K23" i="10"/>
  <c r="K33" i="1"/>
  <c r="K43" i="1" s="1"/>
  <c r="K11" i="5"/>
  <c r="K31" i="2"/>
  <c r="K32" i="2"/>
  <c r="J6" i="10" s="1"/>
  <c r="J30" i="10" s="1"/>
  <c r="J62" i="10" s="1"/>
  <c r="Q32" i="1"/>
  <c r="O30" i="11"/>
  <c r="O32" i="11" s="1"/>
  <c r="O34" i="11" s="1"/>
  <c r="O20" i="2"/>
  <c r="N8" i="1"/>
  <c r="O12" i="2"/>
  <c r="N36" i="1"/>
  <c r="N41" i="1" s="1"/>
  <c r="P59" i="6"/>
  <c r="N39" i="10" s="1"/>
  <c r="O23" i="2"/>
  <c r="O22" i="2"/>
  <c r="N10" i="1" s="1"/>
  <c r="N29" i="1"/>
  <c r="Q8" i="2"/>
  <c r="N36" i="11"/>
  <c r="R88" i="6"/>
  <c r="P9" i="1" s="1"/>
  <c r="P38" i="10" s="1"/>
  <c r="O38" i="10"/>
  <c r="N24" i="2"/>
  <c r="I51" i="1"/>
  <c r="H53" i="1"/>
  <c r="H56" i="1" s="1"/>
  <c r="L27" i="1"/>
  <c r="M23" i="10" s="1"/>
  <c r="M17" i="2"/>
  <c r="M26" i="2" s="1"/>
  <c r="N22" i="10"/>
  <c r="I6" i="1"/>
  <c r="H12" i="1"/>
  <c r="H22" i="1" s="1"/>
  <c r="H58" i="1" s="1"/>
  <c r="L30" i="1"/>
  <c r="L25" i="10" s="1"/>
  <c r="L28" i="1"/>
  <c r="L24" i="10" s="1"/>
  <c r="O13" i="2"/>
  <c r="P61" i="6"/>
  <c r="N10" i="10"/>
  <c r="N10" i="5" s="1"/>
  <c r="N17" i="2"/>
  <c r="N26" i="2" s="1"/>
  <c r="N30" i="2" l="1"/>
  <c r="M5" i="5"/>
  <c r="M7" i="5" s="1"/>
  <c r="I12" i="1"/>
  <c r="I22" i="1" s="1"/>
  <c r="I58" i="1" s="1"/>
  <c r="J6" i="1"/>
  <c r="M28" i="1"/>
  <c r="M30" i="1"/>
  <c r="M25" i="10" s="1"/>
  <c r="L31" i="2"/>
  <c r="L32" i="2" s="1"/>
  <c r="K6" i="10" s="1"/>
  <c r="K30" i="10" s="1"/>
  <c r="K62" i="10" s="1"/>
  <c r="P13" i="2"/>
  <c r="Q61" i="6"/>
  <c r="O10" i="10"/>
  <c r="O10" i="5" s="1"/>
  <c r="L5" i="5"/>
  <c r="L7" i="5" s="1"/>
  <c r="M30" i="2"/>
  <c r="O22" i="10"/>
  <c r="P23" i="2"/>
  <c r="P20" i="2"/>
  <c r="P12" i="2"/>
  <c r="P22" i="2"/>
  <c r="O10" i="1" s="1"/>
  <c r="O21" i="10" s="1"/>
  <c r="O8" i="1"/>
  <c r="Q59" i="6"/>
  <c r="O39" i="10" s="1"/>
  <c r="O12" i="5" s="1"/>
  <c r="O36" i="1"/>
  <c r="O41" i="1" s="1"/>
  <c r="O29" i="1"/>
  <c r="O28" i="10" s="1"/>
  <c r="L23" i="10"/>
  <c r="L33" i="1"/>
  <c r="L43" i="1" s="1"/>
  <c r="L11" i="5"/>
  <c r="O15" i="2"/>
  <c r="J51" i="1"/>
  <c r="I53" i="1"/>
  <c r="I56" i="1" s="1"/>
  <c r="N12" i="5"/>
  <c r="N43" i="10"/>
  <c r="R8" i="2"/>
  <c r="O36" i="11"/>
  <c r="Q38" i="10"/>
  <c r="P19" i="1"/>
  <c r="Q9" i="2"/>
  <c r="R54" i="6"/>
  <c r="O20" i="10"/>
  <c r="N21" i="10"/>
  <c r="N20" i="10"/>
  <c r="N28" i="10"/>
  <c r="O24" i="2"/>
  <c r="M16" i="1"/>
  <c r="M20" i="1" s="1"/>
  <c r="P58" i="6"/>
  <c r="P62" i="6" s="1"/>
  <c r="Q19" i="1" l="1"/>
  <c r="Q22" i="10" s="1"/>
  <c r="R9" i="2"/>
  <c r="S54" i="6"/>
  <c r="P24" i="2"/>
  <c r="N31" i="2"/>
  <c r="N32" i="2" s="1"/>
  <c r="M6" i="10" s="1"/>
  <c r="M30" i="10" s="1"/>
  <c r="M62" i="10" s="1"/>
  <c r="N27" i="1"/>
  <c r="O17" i="2"/>
  <c r="O26" i="2" s="1"/>
  <c r="N16" i="1"/>
  <c r="N20" i="1" s="1"/>
  <c r="Q58" i="6"/>
  <c r="Q62" i="6" s="1"/>
  <c r="P22" i="10"/>
  <c r="P10" i="10"/>
  <c r="P10" i="5" s="1"/>
  <c r="Q13" i="2"/>
  <c r="R61" i="6"/>
  <c r="P36" i="1"/>
  <c r="P41" i="1" s="1"/>
  <c r="Q17" i="2"/>
  <c r="Q26" i="2" s="1"/>
  <c r="Q12" i="2"/>
  <c r="Q15" i="2" s="1"/>
  <c r="P27" i="1" s="1"/>
  <c r="Q22" i="2"/>
  <c r="P10" i="1" s="1"/>
  <c r="Q20" i="2"/>
  <c r="Q24" i="2" s="1"/>
  <c r="Q23" i="2"/>
  <c r="R59" i="6"/>
  <c r="P39" i="10" s="1"/>
  <c r="P8" i="1"/>
  <c r="P29" i="1"/>
  <c r="P28" i="10" s="1"/>
  <c r="K51" i="1"/>
  <c r="J53" i="1"/>
  <c r="J56" i="1" s="1"/>
  <c r="P20" i="10"/>
  <c r="M31" i="2"/>
  <c r="M32" i="2" s="1"/>
  <c r="L6" i="10" s="1"/>
  <c r="L30" i="10" s="1"/>
  <c r="L62" i="10" s="1"/>
  <c r="M24" i="10"/>
  <c r="M33" i="1"/>
  <c r="M43" i="1" s="1"/>
  <c r="M11" i="5"/>
  <c r="M13" i="5" s="1"/>
  <c r="M17" i="5" s="1"/>
  <c r="O43" i="10"/>
  <c r="N30" i="1"/>
  <c r="N25" i="10" s="1"/>
  <c r="N28" i="1"/>
  <c r="N24" i="10" s="1"/>
  <c r="P15" i="2"/>
  <c r="L13" i="5"/>
  <c r="L17" i="5" s="1"/>
  <c r="J12" i="1"/>
  <c r="J22" i="1" s="1"/>
  <c r="K6" i="1"/>
  <c r="P30" i="1" l="1"/>
  <c r="P28" i="1"/>
  <c r="O16" i="1"/>
  <c r="O20" i="1" s="1"/>
  <c r="R58" i="6"/>
  <c r="R62" i="6" s="1"/>
  <c r="O30" i="1"/>
  <c r="O25" i="10" s="1"/>
  <c r="O28" i="1"/>
  <c r="O24" i="10" s="1"/>
  <c r="P43" i="1"/>
  <c r="R13" i="2"/>
  <c r="Q10" i="10"/>
  <c r="Q10" i="5" s="1"/>
  <c r="S61" i="6"/>
  <c r="P33" i="1"/>
  <c r="L6" i="1"/>
  <c r="K12" i="1"/>
  <c r="K22" i="1" s="1"/>
  <c r="K53" i="1"/>
  <c r="K56" i="1" s="1"/>
  <c r="L51" i="1"/>
  <c r="Q36" i="1"/>
  <c r="Q41" i="1" s="1"/>
  <c r="R23" i="2"/>
  <c r="R22" i="2"/>
  <c r="Q10" i="1" s="1"/>
  <c r="Q21" i="10" s="1"/>
  <c r="R20" i="2"/>
  <c r="R24" i="2" s="1"/>
  <c r="S59" i="6"/>
  <c r="Q39" i="10" s="1"/>
  <c r="R12" i="2"/>
  <c r="Q8" i="1"/>
  <c r="Q20" i="10" s="1"/>
  <c r="Q29" i="1"/>
  <c r="Q28" i="10" s="1"/>
  <c r="N5" i="5"/>
  <c r="N7" i="5" s="1"/>
  <c r="O30" i="2"/>
  <c r="O27" i="1"/>
  <c r="P17" i="2"/>
  <c r="P26" i="2" s="1"/>
  <c r="P12" i="5"/>
  <c r="P43" i="10"/>
  <c r="N33" i="1"/>
  <c r="N43" i="1" s="1"/>
  <c r="N23" i="10"/>
  <c r="N11" i="5"/>
  <c r="Q30" i="2"/>
  <c r="P5" i="5"/>
  <c r="P7" i="5" s="1"/>
  <c r="J58" i="1"/>
  <c r="P21" i="10"/>
  <c r="O33" i="1" l="1"/>
  <c r="O43" i="1" s="1"/>
  <c r="O23" i="10"/>
  <c r="O11" i="5"/>
  <c r="Q12" i="5"/>
  <c r="Q43" i="10"/>
  <c r="Q28" i="1"/>
  <c r="Q24" i="10" s="1"/>
  <c r="Q30" i="1"/>
  <c r="Q25" i="10" s="1"/>
  <c r="K58" i="1"/>
  <c r="R15" i="2"/>
  <c r="L12" i="1"/>
  <c r="L22" i="1" s="1"/>
  <c r="M6" i="1"/>
  <c r="O5" i="5"/>
  <c r="O7" i="5" s="1"/>
  <c r="O13" i="5" s="1"/>
  <c r="O17" i="5" s="1"/>
  <c r="P30" i="2"/>
  <c r="Q31" i="2"/>
  <c r="Q32" i="2"/>
  <c r="P6" i="10" s="1"/>
  <c r="P30" i="10" s="1"/>
  <c r="P62" i="10" s="1"/>
  <c r="O32" i="2"/>
  <c r="N6" i="10" s="1"/>
  <c r="N30" i="10" s="1"/>
  <c r="N62" i="10" s="1"/>
  <c r="O31" i="2"/>
  <c r="N13" i="5"/>
  <c r="N17" i="5" s="1"/>
  <c r="P16" i="1"/>
  <c r="P20" i="1" s="1"/>
  <c r="S58" i="6"/>
  <c r="S62" i="6" s="1"/>
  <c r="Q16" i="1" s="1"/>
  <c r="Q20" i="1" s="1"/>
  <c r="P11" i="5"/>
  <c r="P13" i="5" s="1"/>
  <c r="P17" i="5" s="1"/>
  <c r="P23" i="10"/>
  <c r="L53" i="1"/>
  <c r="L56" i="1" s="1"/>
  <c r="M51" i="1"/>
  <c r="P24" i="10"/>
  <c r="P25" i="10"/>
  <c r="P31" i="2" l="1"/>
  <c r="P32" i="2"/>
  <c r="O6" i="10" s="1"/>
  <c r="O30" i="10" s="1"/>
  <c r="O62" i="10" s="1"/>
  <c r="M53" i="1"/>
  <c r="M56" i="1" s="1"/>
  <c r="N51" i="1"/>
  <c r="N6" i="1"/>
  <c r="M12" i="1"/>
  <c r="M22" i="1" s="1"/>
  <c r="M58" i="1" s="1"/>
  <c r="L58" i="1"/>
  <c r="Q27" i="1"/>
  <c r="R17" i="2"/>
  <c r="R26" i="2" s="1"/>
  <c r="Q23" i="10" l="1"/>
  <c r="Q33" i="1"/>
  <c r="Q43" i="1" s="1"/>
  <c r="Q11" i="5"/>
  <c r="O6" i="1"/>
  <c r="N12" i="1"/>
  <c r="N22" i="1" s="1"/>
  <c r="N53" i="1"/>
  <c r="N56" i="1" s="1"/>
  <c r="O51" i="1"/>
  <c r="R30" i="2"/>
  <c r="Q5" i="5"/>
  <c r="Q7" i="5" s="1"/>
  <c r="R31" i="2" l="1"/>
  <c r="R32" i="2" s="1"/>
  <c r="Q6" i="10" s="1"/>
  <c r="Q30" i="10" s="1"/>
  <c r="Q62" i="10" s="1"/>
  <c r="P51" i="1"/>
  <c r="O53" i="1"/>
  <c r="O56" i="1" s="1"/>
  <c r="N58" i="1"/>
  <c r="O12" i="1"/>
  <c r="O22" i="1" s="1"/>
  <c r="O58" i="1" s="1"/>
  <c r="P6" i="1"/>
  <c r="Q13" i="5"/>
  <c r="Q51" i="1" l="1"/>
  <c r="Q53" i="1" s="1"/>
  <c r="Q56" i="1" s="1"/>
  <c r="P53" i="1"/>
  <c r="P56" i="1" s="1"/>
  <c r="Q6" i="1"/>
  <c r="Q12" i="1" s="1"/>
  <c r="Q22" i="1" s="1"/>
  <c r="Q58" i="1" s="1"/>
  <c r="P12" i="1"/>
  <c r="P22" i="1" s="1"/>
  <c r="P58" i="1" s="1"/>
  <c r="Q17" i="5"/>
  <c r="F62" i="5" s="1"/>
  <c r="F58" i="5"/>
  <c r="F63" i="5" s="1"/>
  <c r="F64" i="5" l="1"/>
  <c r="F66" i="5" s="1"/>
  <c r="F68" i="5" s="1"/>
  <c r="F70" i="5" l="1"/>
  <c r="O4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tc={A7E11077-5AA4-AD4E-AD42-528227CB17FA}</author>
    <author>tc={CCC5F433-6E1E-6C4C-8739-6EAC6F79E2A2}</author>
    <author>tc={7E2DE0C3-9511-1A48-A99D-178B4E43531E}</author>
    <author>tc={C5F82808-DC14-EE4E-B14F-37EF66A1E7F2}</author>
    <author>tc={55FC186A-ADF2-F347-8924-BA06A6C1831D}</author>
    <author>tc={D5834B51-BC8F-7845-A16F-277E85C02422}</author>
  </authors>
  <commentList>
    <comment ref="B19" authorId="0" shapeId="0" xr:uid="{A7E11077-5AA4-AD4E-AD42-528227CB17FA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revenue</t>
      </text>
    </comment>
    <comment ref="B35" authorId="1" shapeId="0" xr:uid="{CCC5F433-6E1E-6C4C-8739-6EAC6F79E2A2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10-K</t>
      </text>
    </comment>
    <comment ref="B39" authorId="2" shapeId="0" xr:uid="{7E2DE0C3-9511-1A48-A99D-178B4E43531E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 economics rate</t>
      </text>
    </comment>
    <comment ref="B65" authorId="3" shapeId="0" xr:uid="{C5F82808-DC14-EE4E-B14F-37EF66A1E7F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Connects to sales and marketing expenses</t>
      </text>
    </comment>
    <comment ref="B66" authorId="4" shapeId="0" xr:uid="{55FC186A-ADF2-F347-8924-BA06A6C1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of revenue</t>
      </text>
    </comment>
    <comment ref="B67" authorId="5" shapeId="0" xr:uid="{D5834B51-BC8F-7845-A16F-277E85C02422}">
      <text>
        <t>[Threaded comment]
Your version of Excel allows you to read this threaded comment; however, any edits to it will get removed if the file is opened in a newer version of Excel. Learn more: https://go.microsoft.com/fwlink/?linkid=870924
Comment:
    Sales and marketing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tc={E5FDF516-A4B8-9046-A104-D595045A7593}</author>
    <author>tc={601D229B-F5CD-F948-B3FC-AF83824CAA54}</author>
    <author>tc={91D8A2CC-B932-1442-8B38-850B861CC34E}</author>
  </authors>
  <commentList>
    <comment ref="B12" authorId="0" shapeId="0" xr:uid="{E5FDF516-A4B8-9046-A104-D595045A7593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 of revenue, D&amp;A is artificially high, break down D&amp;A to two things (in 10K): Intangible assets has schedule use that, project out intangibles, regular D&amp;A % of revenue</t>
      </text>
    </comment>
    <comment ref="B20" authorId="1" shapeId="0" xr:uid="{601D229B-F5CD-F948-B3FC-AF83824CAA54}">
      <text>
        <t>[Threaded comment]
Your version of Excel allows you to read this threaded comment; however, any edits to it will get removed if the file is opened in a newer version of Excel. Learn more: https://go.microsoft.com/fwlink/?linkid=870924
Comment:
    Cut to a bilion</t>
      </text>
    </comment>
    <comment ref="B21" authorId="2" shapeId="0" xr:uid="{91D8A2CC-B932-1442-8B38-850B861CC34E}">
      <text>
        <t>[Threaded comment]
Your version of Excel allows you to read this threaded comment; however, any edits to it will get removed if the file is opened in a newer version of Excel. Learn more: https://go.microsoft.com/fwlink/?linkid=870924
Comment:
    Calculate CAC, Total number of new customers acquired * Cost per customer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tc={85FB89A3-E8F9-C049-B7EE-392CC795BB11}</author>
    <author>tc={C1D9D1C8-773F-4E4E-A004-401B0819D253}</author>
    <author>tc={572685BE-5B36-6949-B7C0-7DDE7CBA941C}</author>
    <author>tc={EAD83ED0-6021-094F-80C7-0D2F3CBE51FA}</author>
    <author>tc={75F2CA70-A806-2D42-BFE1-DA0C8A982418}</author>
    <author>tc={E4B6F5EA-9F61-F948-9E8C-38025549BD4F}</author>
    <author>tc={E10A19BE-9DCC-D441-9658-6A9B30DFB7C4}</author>
    <author>tc={FEED2B72-3616-1443-9372-DD64F5808A00}</author>
  </authors>
  <commentList>
    <comment ref="G7" authorId="0" shapeId="0" xr:uid="{85FB89A3-E8F9-C049-B7EE-392CC795BB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direct line item in CFS</t>
      </text>
    </comment>
    <comment ref="B9" authorId="1" shapeId="0" xr:uid="{C1D9D1C8-773F-4E4E-A004-401B0819D25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to NWC</t>
      </text>
    </comment>
    <comment ref="B10" authorId="2" shapeId="0" xr:uid="{572685BE-5B36-6949-B7C0-7DDE7CBA941C}">
      <text>
        <t>[Threaded comment]
Your version of Excel allows you to read this threaded comment; however, any edits to it will get removed if the file is opened in a newer version of Excel. Learn more: https://go.microsoft.com/fwlink/?linkid=870924
Comment:
    Expenses</t>
      </text>
    </comment>
    <comment ref="B11" authorId="3" shapeId="0" xr:uid="{EAD83ED0-6021-094F-80C7-0D2F3CBE51FA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transaction volume</t>
      </text>
    </comment>
    <comment ref="B17" authorId="4" shapeId="0" xr:uid="{75F2CA70-A806-2D42-BFE1-DA0C8A982418}">
      <text>
        <t>[Threaded comment]
Your version of Excel allows you to read this threaded comment; however, any edits to it will get removed if the file is opened in a newer version of Excel. Learn more: https://go.microsoft.com/fwlink/?linkid=870924
Comment:
    Depreciation sechdule for intangibles</t>
      </text>
    </comment>
    <comment ref="B19" authorId="5" shapeId="0" xr:uid="{E4B6F5EA-9F61-F948-9E8C-38025549BD4F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revenue</t>
      </text>
    </comment>
    <comment ref="B32" authorId="6" shapeId="0" xr:uid="{E10A19BE-9DCC-D441-9658-6A9B30DFB7C4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TPV</t>
      </text>
    </comment>
    <comment ref="B36" authorId="7" shapeId="0" xr:uid="{FEED2B72-3616-1443-9372-DD64F5808A00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rev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tc={B0133EE1-218D-A14F-9514-76846EF4DC04}</author>
    <author>tc={C5B1EF6E-34C3-B64F-80B7-A06D4BB3AE52}</author>
    <author>tc={ED527374-D073-674D-8DA8-774F8BA00310}</author>
  </authors>
  <commentList>
    <comment ref="B14" authorId="0" shapeId="0" xr:uid="{B0133EE1-218D-A14F-9514-76846EF4DC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% of loss on acquired card receivables, project out, first find out what acquired card receievables are </t>
      </text>
    </comment>
    <comment ref="B24" authorId="1" shapeId="0" xr:uid="{C5B1EF6E-34C3-B64F-80B7-A06D4BB3AE5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for clarity since Balance Sheet Line Item was a part of another line item</t>
      </text>
    </comment>
    <comment ref="B39" authorId="2" shapeId="0" xr:uid="{ED527374-D073-674D-8DA8-774F8BA00310}">
      <text>
        <t>[Threaded comment]
Your version of Excel allows you to read this threaded comment; however, any edits to it will get removed if the file is opened in a newer version of Excel. Learn more: https://go.microsoft.com/fwlink/?linkid=870924
Comment:
    % of revenue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tc={1CFFBE94-767E-8949-BF3C-A1EDFC16A9FB}</author>
  </authors>
  <commentList>
    <comment ref="H36" authorId="0" shapeId="0" xr:uid="{1CFFBE94-767E-8949-BF3C-A1EDFC16A9F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effective interest rates during the year ended June 30, 2022, which consisted of the 2027 Notes and the 2025 Notes after the adoption of ASU 2020-06 beginning July 1, 2021 were 0.48% and 0.36%, respectively. The effective interest rate during the year ended June 30, 2021, which includes the 2025 Notes and prior to the adoption of ASU 2020-06 was 5.37% and was based on the interest rate of similar debt instruments, at the time of the offering, that do not have associated convertible features.</t>
      </text>
    </comment>
  </commentList>
</comments>
</file>

<file path=xl/sharedStrings.xml><?xml version="1.0" encoding="utf-8"?>
<sst xmlns="http://schemas.openxmlformats.org/spreadsheetml/2006/main" count="675" uniqueCount="270">
  <si>
    <t>Cash flows from operating activities:</t>
  </si>
  <si>
    <t>Adjustments to reconcile net loss to net cash (used in) provided by operating activities:</t>
  </si>
  <si>
    <t>Stock-based compensation</t>
  </si>
  <si>
    <t>Amortization of intangible assets</t>
  </si>
  <si>
    <t>Depreciation and amortization</t>
  </si>
  <si>
    <t>Amortization of capitalized internal-use software costs</t>
  </si>
  <si>
    <t>Amortization of debt discount (accretion of debt premium) and issuance costs</t>
  </si>
  <si>
    <t>Amortization of premium (accretion of discount) on investments in marketable debt securities</t>
  </si>
  <si>
    <t>Provision for losses on acquired card receivables</t>
  </si>
  <si>
    <t>Non-cash operating lease expense</t>
  </si>
  <si>
    <t>Deferred income taxes</t>
  </si>
  <si>
    <t>Other</t>
  </si>
  <si>
    <t>Changes in assets and liabilities:</t>
  </si>
  <si>
    <t>Accounts receivable</t>
  </si>
  <si>
    <t>Prepaid expenses and other current assets</t>
  </si>
  <si>
    <t>Other assets</t>
  </si>
  <si>
    <t>Accounts payable</t>
  </si>
  <si>
    <t>Other accruals and current liabilities</t>
  </si>
  <si>
    <t>Operating lease liabilities</t>
  </si>
  <si>
    <t>Other long-term liabilities</t>
  </si>
  <si>
    <t>Deferred revenue</t>
  </si>
  <si>
    <t>Net cash (used in) provided by operating activities</t>
  </si>
  <si>
    <t>Cash flows from investing activities:</t>
  </si>
  <si>
    <t>Cash paid for acquisition, net of acquired cash and cash equivalents</t>
  </si>
  <si>
    <t>Purchases of corporate and customer fund short-term investments</t>
  </si>
  <si>
    <t>Proceeds from maturities of corporate and customer fund short-term investments</t>
  </si>
  <si>
    <t>Proceeds from sale of corporate and customer fund short-term investments</t>
  </si>
  <si>
    <t>Purchases of property and equipment</t>
  </si>
  <si>
    <t>Capitalization of internal-use software costs</t>
  </si>
  <si>
    <t>Proceeds from beneficial interest</t>
  </si>
  <si>
    <t>Net cash used in investing activities</t>
  </si>
  <si>
    <t>Cash flows from financing activities:</t>
  </si>
  <si>
    <t>Proceeds from issuance of common stock upon public offering, net of underwriting discounts and other offering costs</t>
  </si>
  <si>
    <t>Proceeds from issuance of convertible senior notes, net of discounts and issuance costs</t>
  </si>
  <si>
    <t>Purchase of capped calls</t>
  </si>
  <si>
    <t>Proceeds from issuance of common stock upon initial public offering, net of underwriting discounts and commissions and other offering costs</t>
  </si>
  <si>
    <t>Proceeds from issuance of common stock upon follow-on public offering, net of underwriting discounts and commissions and other offering costs</t>
  </si>
  <si>
    <t>Increase in customer fund deposits liability and other</t>
  </si>
  <si>
    <t>Proceeds from line of credit borrowings</t>
  </si>
  <si>
    <t>Payments on line of credit and bank borrowings</t>
  </si>
  <si>
    <t>Proceeds from exercise of stock options</t>
  </si>
  <si>
    <t>Proceeds from issuance of common stock under the employee stock purchase plan</t>
  </si>
  <si>
    <t>Net cash provided by financing activities</t>
  </si>
  <si>
    <t>Effect of exchange rate changes on cash, cash equivalents, restricted cash, and restricted cash equivalents</t>
  </si>
  <si>
    <t>Net increase in cash, cash equivalents, restricted cash, and restricted cash equivalents</t>
  </si>
  <si>
    <t>Cash and cash equivalents</t>
  </si>
  <si>
    <t>Service costs</t>
  </si>
  <si>
    <t>Total cost of revenue</t>
  </si>
  <si>
    <t>Research and development</t>
  </si>
  <si>
    <t>Sales and marketing</t>
  </si>
  <si>
    <t>Total operating expenses</t>
  </si>
  <si>
    <t>(Benefit from) provision for income taxes</t>
  </si>
  <si>
    <t>Current assets:</t>
  </si>
  <si>
    <t>Short-term investments</t>
  </si>
  <si>
    <t>Accounts receivable, net</t>
  </si>
  <si>
    <t>Acquired card receivables, net</t>
  </si>
  <si>
    <t>Funds held for customers</t>
  </si>
  <si>
    <t>Total current assets</t>
  </si>
  <si>
    <t>Non-current assets:</t>
  </si>
  <si>
    <t>Operating lease right-of-use assets, net</t>
  </si>
  <si>
    <t>Property and equipment, net</t>
  </si>
  <si>
    <t>Intangible assets, net</t>
  </si>
  <si>
    <t>Goodwill</t>
  </si>
  <si>
    <t>Total assets</t>
  </si>
  <si>
    <t>Current liabilities:</t>
  </si>
  <si>
    <t>Accrued compensation and benefits</t>
  </si>
  <si>
    <t>Borrowings from credit facilities, net</t>
  </si>
  <si>
    <t>Customer fund deposits</t>
  </si>
  <si>
    <t>Total current liabilities</t>
  </si>
  <si>
    <t>Non-current liabilities:</t>
  </si>
  <si>
    <t>Convertible senior notes, net</t>
  </si>
  <si>
    <t>Total liabilities</t>
  </si>
  <si>
    <t>Stockholders' equity:</t>
  </si>
  <si>
    <t>Accumulated other comprehensive loss</t>
  </si>
  <si>
    <t>Accumulated deficit</t>
  </si>
  <si>
    <t>Total stockholders' equity</t>
  </si>
  <si>
    <t>Historical</t>
  </si>
  <si>
    <t>Projected</t>
  </si>
  <si>
    <t>Balance Sheet</t>
  </si>
  <si>
    <t>Units</t>
  </si>
  <si>
    <t>FY 20</t>
  </si>
  <si>
    <t>FY 21</t>
  </si>
  <si>
    <t>FY 22</t>
  </si>
  <si>
    <t>FY 23</t>
  </si>
  <si>
    <t>FY 24</t>
  </si>
  <si>
    <t>FY 25</t>
  </si>
  <si>
    <t>FY 26</t>
  </si>
  <si>
    <t>Income Statement</t>
  </si>
  <si>
    <t>FY 27</t>
  </si>
  <si>
    <t>Revenue:</t>
  </si>
  <si>
    <t>Small-to-midsize business, accounting firm customers and other</t>
  </si>
  <si>
    <t>$M</t>
  </si>
  <si>
    <t>Financial institution customers</t>
  </si>
  <si>
    <t>Interest on funds held for customers</t>
  </si>
  <si>
    <t>Cost of Revenue:</t>
  </si>
  <si>
    <t>Gross margin</t>
  </si>
  <si>
    <t>Total revenue</t>
  </si>
  <si>
    <t>Operating expenses:</t>
  </si>
  <si>
    <t xml:space="preserve">General and administrative </t>
  </si>
  <si>
    <t>Operating income</t>
  </si>
  <si>
    <t>Pre-tax income</t>
  </si>
  <si>
    <t>Non-operating income (expense)</t>
  </si>
  <si>
    <t>% of revenue</t>
  </si>
  <si>
    <t>D&amp;A</t>
  </si>
  <si>
    <t>Assets</t>
  </si>
  <si>
    <t>Total non-current assets</t>
  </si>
  <si>
    <t>Liabilities</t>
  </si>
  <si>
    <t>Total non-current liabilities</t>
  </si>
  <si>
    <t>Preferred stock</t>
  </si>
  <si>
    <t>Common stock</t>
  </si>
  <si>
    <t>Additional paid in capital</t>
  </si>
  <si>
    <t>(Net Loss) Gain</t>
  </si>
  <si>
    <t>(Net loss) gain</t>
  </si>
  <si>
    <t>%</t>
  </si>
  <si>
    <t>EBIT</t>
  </si>
  <si>
    <t>Unlevered Free Cash Flow</t>
  </si>
  <si>
    <t>Income Statement Drivers</t>
  </si>
  <si>
    <t>FY 28</t>
  </si>
  <si>
    <t>FY 29</t>
  </si>
  <si>
    <t>FY 30</t>
  </si>
  <si>
    <t>FY 31</t>
  </si>
  <si>
    <t>FY 32</t>
  </si>
  <si>
    <t>FY 33</t>
  </si>
  <si>
    <t>Balance Sheet Drivers</t>
  </si>
  <si>
    <t>Projection</t>
  </si>
  <si>
    <t>Cash Flow Statement</t>
  </si>
  <si>
    <t>Accounts Payable % of COGS</t>
  </si>
  <si>
    <t>Total liabilities and shareholders' equity</t>
  </si>
  <si>
    <t>Balance Check</t>
  </si>
  <si>
    <t>Increase in acquired card receivables, net and other</t>
  </si>
  <si>
    <t>Accrued compensation</t>
  </si>
  <si>
    <t>Revenue Build</t>
  </si>
  <si>
    <t>Transaction Revenue</t>
  </si>
  <si>
    <t>#</t>
  </si>
  <si>
    <t>Bill transaction revenue</t>
  </si>
  <si>
    <t>Divvy transaction revenue</t>
  </si>
  <si>
    <t>$</t>
  </si>
  <si>
    <t>Revenue Build Assumptions</t>
  </si>
  <si>
    <t>Subscription Revenue</t>
  </si>
  <si>
    <t>Bill customer retention rate</t>
  </si>
  <si>
    <t>Bill customer growth rate</t>
  </si>
  <si>
    <t>Bill + Invoice2go customers</t>
  </si>
  <si>
    <t>Total subscription revenue</t>
  </si>
  <si>
    <t>Total transaction revenue</t>
  </si>
  <si>
    <t>TPV</t>
  </si>
  <si>
    <t>Take rate</t>
  </si>
  <si>
    <t>Divvy customers</t>
  </si>
  <si>
    <t>Bill TPV take rate</t>
  </si>
  <si>
    <t>Divvy TPV take rate</t>
  </si>
  <si>
    <t>Unlevered FCF</t>
  </si>
  <si>
    <t>% tax rate</t>
  </si>
  <si>
    <t>NOPAT</t>
  </si>
  <si>
    <t>(+) Depreciation and amortization</t>
  </si>
  <si>
    <t>Adjustments for non-cash charges/reinvestment:</t>
  </si>
  <si>
    <t>(-) Changes in NWC</t>
  </si>
  <si>
    <t>(-) Capital expenditures</t>
  </si>
  <si>
    <t>Depreciation</t>
  </si>
  <si>
    <t>Depreciation and Amortization Schedule</t>
  </si>
  <si>
    <t>Amortization of intangibles:</t>
  </si>
  <si>
    <t>Customer relationships</t>
  </si>
  <si>
    <t>Developed technology</t>
  </si>
  <si>
    <t>Finite-lived trade names</t>
  </si>
  <si>
    <t xml:space="preserve">Total </t>
  </si>
  <si>
    <t>Customer Acquisition Costs</t>
  </si>
  <si>
    <t>Customer acquisition cost</t>
  </si>
  <si>
    <t>Sales and marketing expense</t>
  </si>
  <si>
    <t xml:space="preserve">Interest rate on funds </t>
  </si>
  <si>
    <t>Interest income</t>
  </si>
  <si>
    <t>Total fund revenue</t>
  </si>
  <si>
    <t>% of TPV</t>
  </si>
  <si>
    <t>Acquired Card Receivables</t>
  </si>
  <si>
    <t>Acquired card receivables</t>
  </si>
  <si>
    <t>Write off for card receivables</t>
  </si>
  <si>
    <t>Provisions for losses</t>
  </si>
  <si>
    <t>Net acquired card receivables</t>
  </si>
  <si>
    <t>Depreciation Expense</t>
  </si>
  <si>
    <t>Beta Calculation</t>
  </si>
  <si>
    <t>Company</t>
  </si>
  <si>
    <t>Beta</t>
  </si>
  <si>
    <t>D/E (%)</t>
  </si>
  <si>
    <t>Tax Rate (%)</t>
  </si>
  <si>
    <t>Unlevered Beta</t>
  </si>
  <si>
    <t>Levered Beta</t>
  </si>
  <si>
    <t>Paylocity</t>
  </si>
  <si>
    <t>Bentley Systems</t>
  </si>
  <si>
    <t>ZoomInfo Technologies</t>
  </si>
  <si>
    <t>Dynatrace</t>
  </si>
  <si>
    <t>Manhattan Associates</t>
  </si>
  <si>
    <t>Debt</t>
  </si>
  <si>
    <t>Equity</t>
  </si>
  <si>
    <t>Average Unlevered Beta</t>
  </si>
  <si>
    <t xml:space="preserve">Bill.com </t>
  </si>
  <si>
    <t>D/E</t>
  </si>
  <si>
    <t>Tax Rate</t>
  </si>
  <si>
    <t>WACC Calculations</t>
  </si>
  <si>
    <t>Cost of equity</t>
  </si>
  <si>
    <t>Cost of Equity</t>
  </si>
  <si>
    <t>Risk free rate</t>
  </si>
  <si>
    <t>Equity Risk Premium</t>
  </si>
  <si>
    <t>Cost of Debt</t>
  </si>
  <si>
    <t>Current Stock Price</t>
  </si>
  <si>
    <t>E/(E+D)</t>
  </si>
  <si>
    <t>D/(E+D)</t>
  </si>
  <si>
    <t>Market Cap in thousands</t>
  </si>
  <si>
    <t>Net Debt thousands</t>
  </si>
  <si>
    <t>Thousands</t>
  </si>
  <si>
    <t>WACC</t>
  </si>
  <si>
    <t>Year</t>
  </si>
  <si>
    <t>Discount Factor</t>
  </si>
  <si>
    <t>Near-term discounted free cash flow</t>
  </si>
  <si>
    <t>Terminal Vaue</t>
  </si>
  <si>
    <t>Terminal growth rate</t>
  </si>
  <si>
    <t>Terminal value</t>
  </si>
  <si>
    <t>DCF</t>
  </si>
  <si>
    <t>Present value of near term free cash flows</t>
  </si>
  <si>
    <t>Implied enterprise value</t>
  </si>
  <si>
    <t>Implied equity value</t>
  </si>
  <si>
    <t>Shares outstanding</t>
  </si>
  <si>
    <t>Shares Outstanding</t>
  </si>
  <si>
    <t>Implied price per share</t>
  </si>
  <si>
    <t>Implied upside</t>
  </si>
  <si>
    <t>Present value of terminal value</t>
  </si>
  <si>
    <t>Divvy customer retention rate</t>
  </si>
  <si>
    <t>Service costs as a % of revenue</t>
  </si>
  <si>
    <t>R&amp;D as a % of revenue</t>
  </si>
  <si>
    <t>General and administrative as a % of revenue</t>
  </si>
  <si>
    <t>Accounts receivable, net as a % of revenue</t>
  </si>
  <si>
    <t>Acquired card receivable, net as a % of revenue</t>
  </si>
  <si>
    <t>Prepaid expenses and other current assets as a % of G&amp;A</t>
  </si>
  <si>
    <t>Other assets as a % of revenue</t>
  </si>
  <si>
    <t>Deferred Revenue as a % of revenue</t>
  </si>
  <si>
    <t>Other accruals and current liabilities as a % of opex</t>
  </si>
  <si>
    <t>Accrued compensation and benefits as a % of opex</t>
  </si>
  <si>
    <t>Funds held for customers as a % of TPV</t>
  </si>
  <si>
    <t>Deferred revenue as a % of revenue</t>
  </si>
  <si>
    <t>Three-Statement Assumptions</t>
  </si>
  <si>
    <t>Customer Acquisition Cost Assumptions</t>
  </si>
  <si>
    <t>Card Receivables Assumptions</t>
  </si>
  <si>
    <t>Case</t>
  </si>
  <si>
    <t>Bear 1</t>
  </si>
  <si>
    <t>Base 2</t>
  </si>
  <si>
    <t>Bull 3</t>
  </si>
  <si>
    <t>Bear/Base/Bull Assumptions</t>
  </si>
  <si>
    <t>Bear</t>
  </si>
  <si>
    <t>Base</t>
  </si>
  <si>
    <t>Bull</t>
  </si>
  <si>
    <t>Bill+Invoice2go subscription revenue per customer</t>
  </si>
  <si>
    <t>Divvy customer growth rate</t>
  </si>
  <si>
    <t>Interest Revenue from Funds</t>
  </si>
  <si>
    <t>BILL + Invoice2go subscription per customer</t>
  </si>
  <si>
    <t>Coupa Software Incorporated</t>
  </si>
  <si>
    <t>Number of customers lost</t>
  </si>
  <si>
    <t>Bill TPV per customer growth rate</t>
  </si>
  <si>
    <t>Divvy TPV per customer growth rate</t>
  </si>
  <si>
    <t>Bill TPV per customer</t>
  </si>
  <si>
    <t>Divvy TPV per customer</t>
  </si>
  <si>
    <t>Revenue as a % of funds</t>
  </si>
  <si>
    <t>Purchase of PPE</t>
  </si>
  <si>
    <t>D&amp;A and PPE Assumptions</t>
  </si>
  <si>
    <t>PP&amp;E Schedule</t>
  </si>
  <si>
    <t>Beginning PP&amp;E, net</t>
  </si>
  <si>
    <t>(+) Capital expenditures</t>
  </si>
  <si>
    <t>Capital expenditures as a % of revenue</t>
  </si>
  <si>
    <t>(-) Depreciation and amortization</t>
  </si>
  <si>
    <t>End PP&amp;E, net</t>
  </si>
  <si>
    <t>TGR</t>
  </si>
  <si>
    <t>Number of customers added, net</t>
  </si>
  <si>
    <t>Bill TPV</t>
  </si>
  <si>
    <t>Divvy TPV</t>
  </si>
  <si>
    <t>Bill take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</si>
</sst>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0_);_(\(0\);_(&quot;-&quot;_);@_)"/>
    <numFmt numFmtId="165" formatCode="_(\$* #,##0_);_(\$* \(#,##0\);_(\$* &quot;-&quot;_);_(@_)"/>
    <numFmt numFmtId="166" formatCode="_(#,##0_);_(\(#,##0\);_(&quot;-&quot;_);_(@_)"/>
    <numFmt numFmtId="167" formatCode="_(\$* #,##0.00_);_(\$* \(#,##0.00\);_(\$* &quot;-&quot;_);_(@_)"/>
    <numFmt numFmtId="168" formatCode="0.0%"/>
    <numFmt numFmtId="169" formatCode="0.000%"/>
    <numFmt numFmtId="170" formatCode="_(* #,##0.00_);_(* \(#,##0.00\);_(* &quot;-&quot;_);_(@_)"/>
    <numFmt numFmtId="171" formatCode="_([$$-409]* #,##0.00_);_([$$-409]* \(#,##0.00\);_([$$-409]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Garamond"/>
      <family val="1"/>
    </font>
    <font>
      <b/>
      <sz val="12"/>
      <color theme="0"/>
      <name val="Garamond"/>
      <family val="1"/>
    </font>
    <font>
      <b/>
      <i/>
      <sz val="12"/>
      <color theme="0"/>
      <name val="Garamond"/>
      <family val="1"/>
    </font>
    <font>
      <sz val="12"/>
      <color theme="1"/>
      <name val="Garamond"/>
      <family val="1"/>
    </font>
    <font>
      <i/>
      <sz val="12"/>
      <color theme="1"/>
      <name val="Garamond"/>
      <family val="1"/>
    </font>
    <font>
      <b/>
      <sz val="12"/>
      <color theme="1"/>
      <name val="Garamond"/>
      <family val="1"/>
    </font>
    <font>
      <b/>
      <i/>
      <sz val="12"/>
      <color theme="1"/>
      <name val="Garamond"/>
      <family val="1"/>
    </font>
    <font>
      <sz val="11"/>
      <name val="Garamond"/>
      <family val="1"/>
    </font>
    <font>
      <b/>
      <sz val="11"/>
      <name val="Garamond"/>
      <family val="1"/>
    </font>
    <font>
      <b/>
      <sz val="12"/>
      <name val="Garamond"/>
      <family val="1"/>
    </font>
    <font>
      <sz val="12"/>
      <color rgb="FF000000"/>
      <name val="Garamond"/>
      <family val="1"/>
    </font>
    <font>
      <sz val="8"/>
      <color rgb="FF666666"/>
      <name val="Arial"/>
      <family val="2"/>
    </font>
    <font>
      <sz val="12"/>
      <color rgb="FF000000"/>
      <name val="Calibri"/>
      <family val="2"/>
    </font>
    <font>
      <b/>
      <sz val="14"/>
      <color theme="0"/>
      <name val="Garamond"/>
      <family val="1"/>
    </font>
    <font>
      <sz val="12"/>
      <color rgb="FF002060"/>
      <name val="Garamond"/>
      <family val="1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1F48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1">
    <xf numFmtId="0" fontId="0" fillId="0" borderId="0" xfId="0"/>
    <xf numFmtId="0" fontId="3" fillId="2" borderId="0" xfId="0" applyFont="1" applyFill="1"/>
    <xf numFmtId="0" fontId="4" fillId="2" borderId="14" xfId="0" applyFont="1" applyFill="1" applyBorder="1"/>
    <xf numFmtId="0" fontId="5" fillId="2" borderId="15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6" fillId="3" borderId="5" xfId="0" applyFont="1" applyFill="1" applyBorder="1"/>
    <xf numFmtId="0" fontId="6" fillId="0" borderId="0" xfId="0" applyFont="1"/>
    <xf numFmtId="0" fontId="7" fillId="0" borderId="0" xfId="0" applyFont="1" applyAlignment="1">
      <alignment horizontal="center"/>
    </xf>
    <xf numFmtId="41" fontId="6" fillId="0" borderId="0" xfId="0" applyNumberFormat="1" applyFont="1"/>
    <xf numFmtId="0" fontId="6" fillId="0" borderId="0" xfId="0" applyFont="1" applyAlignment="1">
      <alignment horizontal="left" indent="1"/>
    </xf>
    <xf numFmtId="0" fontId="6" fillId="0" borderId="9" xfId="0" applyFont="1" applyBorder="1" applyAlignment="1">
      <alignment horizontal="left" indent="2"/>
    </xf>
    <xf numFmtId="0" fontId="6" fillId="0" borderId="9" xfId="0" applyFont="1" applyBorder="1"/>
    <xf numFmtId="0" fontId="7" fillId="0" borderId="9" xfId="0" applyFont="1" applyBorder="1" applyAlignment="1">
      <alignment horizontal="center"/>
    </xf>
    <xf numFmtId="41" fontId="6" fillId="0" borderId="9" xfId="0" applyNumberFormat="1" applyFont="1" applyBorder="1"/>
    <xf numFmtId="0" fontId="6" fillId="5" borderId="5" xfId="0" applyFont="1" applyFill="1" applyBorder="1"/>
    <xf numFmtId="0" fontId="7" fillId="5" borderId="5" xfId="0" applyFont="1" applyFill="1" applyBorder="1" applyAlignment="1">
      <alignment horizontal="center"/>
    </xf>
    <xf numFmtId="41" fontId="6" fillId="5" borderId="5" xfId="0" applyNumberFormat="1" applyFont="1" applyFill="1" applyBorder="1"/>
    <xf numFmtId="10" fontId="6" fillId="0" borderId="0" xfId="0" applyNumberFormat="1" applyFont="1"/>
    <xf numFmtId="9" fontId="6" fillId="0" borderId="0" xfId="0" applyNumberFormat="1" applyFont="1"/>
    <xf numFmtId="0" fontId="6" fillId="0" borderId="7" xfId="0" applyFont="1" applyBorder="1" applyAlignment="1">
      <alignment horizontal="left" indent="1"/>
    </xf>
    <xf numFmtId="0" fontId="6" fillId="0" borderId="7" xfId="0" applyFont="1" applyBorder="1"/>
    <xf numFmtId="0" fontId="7" fillId="0" borderId="7" xfId="0" applyFont="1" applyBorder="1" applyAlignment="1">
      <alignment horizontal="center"/>
    </xf>
    <xf numFmtId="168" fontId="6" fillId="0" borderId="7" xfId="1" applyNumberFormat="1" applyFont="1" applyBorder="1"/>
    <xf numFmtId="0" fontId="6" fillId="0" borderId="0" xfId="0" applyFont="1" applyAlignment="1">
      <alignment horizontal="left" indent="2"/>
    </xf>
    <xf numFmtId="0" fontId="6" fillId="0" borderId="10" xfId="0" applyFont="1" applyBorder="1"/>
    <xf numFmtId="0" fontId="5" fillId="2" borderId="0" xfId="0" applyFont="1" applyFill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6" fillId="3" borderId="9" xfId="0" applyFont="1" applyFill="1" applyBorder="1"/>
    <xf numFmtId="0" fontId="6" fillId="0" borderId="6" xfId="0" applyFont="1" applyBorder="1" applyAlignment="1">
      <alignment horizontal="left" indent="2"/>
    </xf>
    <xf numFmtId="0" fontId="6" fillId="0" borderId="6" xfId="0" applyFont="1" applyBorder="1"/>
    <xf numFmtId="0" fontId="7" fillId="0" borderId="6" xfId="0" applyFont="1" applyBorder="1" applyAlignment="1">
      <alignment horizontal="center"/>
    </xf>
    <xf numFmtId="41" fontId="6" fillId="0" borderId="6" xfId="0" applyNumberFormat="1" applyFont="1" applyBorder="1"/>
    <xf numFmtId="0" fontId="6" fillId="0" borderId="0" xfId="0" applyFont="1" applyAlignment="1">
      <alignment horizontal="left"/>
    </xf>
    <xf numFmtId="4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 indent="3"/>
    </xf>
    <xf numFmtId="0" fontId="8" fillId="5" borderId="13" xfId="0" applyFont="1" applyFill="1" applyBorder="1" applyAlignment="1">
      <alignment horizontal="left" indent="2"/>
    </xf>
    <xf numFmtId="0" fontId="8" fillId="5" borderId="13" xfId="0" applyFont="1" applyFill="1" applyBorder="1"/>
    <xf numFmtId="0" fontId="9" fillId="5" borderId="13" xfId="0" applyFont="1" applyFill="1" applyBorder="1" applyAlignment="1">
      <alignment horizontal="center"/>
    </xf>
    <xf numFmtId="37" fontId="8" fillId="5" borderId="13" xfId="0" applyNumberFormat="1" applyFont="1" applyFill="1" applyBorder="1"/>
    <xf numFmtId="166" fontId="10" fillId="0" borderId="0" xfId="0" applyNumberFormat="1" applyFont="1"/>
    <xf numFmtId="164" fontId="11" fillId="0" borderId="0" xfId="0" applyNumberFormat="1" applyFont="1" applyAlignment="1">
      <alignment horizontal="centerContinuous"/>
    </xf>
    <xf numFmtId="164" fontId="11" fillId="0" borderId="0" xfId="0" applyNumberFormat="1" applyFont="1" applyAlignment="1">
      <alignment horizontal="right"/>
    </xf>
    <xf numFmtId="165" fontId="10" fillId="0" borderId="0" xfId="0" applyNumberFormat="1" applyFont="1"/>
    <xf numFmtId="164" fontId="10" fillId="0" borderId="0" xfId="0" applyNumberFormat="1" applyFont="1" applyAlignment="1">
      <alignment horizontal="right"/>
    </xf>
    <xf numFmtId="167" fontId="10" fillId="0" borderId="0" xfId="0" applyNumberFormat="1" applyFont="1"/>
    <xf numFmtId="0" fontId="8" fillId="3" borderId="5" xfId="0" applyFont="1" applyFill="1" applyBorder="1"/>
    <xf numFmtId="41" fontId="6" fillId="0" borderId="1" xfId="0" applyNumberFormat="1" applyFont="1" applyBorder="1"/>
    <xf numFmtId="0" fontId="8" fillId="5" borderId="13" xfId="0" applyFont="1" applyFill="1" applyBorder="1" applyAlignment="1">
      <alignment horizontal="left"/>
    </xf>
    <xf numFmtId="41" fontId="8" fillId="5" borderId="13" xfId="0" applyNumberFormat="1" applyFont="1" applyFill="1" applyBorder="1"/>
    <xf numFmtId="0" fontId="4" fillId="2" borderId="0" xfId="0" applyFont="1" applyFill="1"/>
    <xf numFmtId="0" fontId="6" fillId="5" borderId="13" xfId="0" applyFont="1" applyFill="1" applyBorder="1" applyAlignment="1">
      <alignment horizontal="left" indent="2"/>
    </xf>
    <xf numFmtId="0" fontId="6" fillId="5" borderId="13" xfId="0" applyFont="1" applyFill="1" applyBorder="1"/>
    <xf numFmtId="0" fontId="7" fillId="5" borderId="13" xfId="0" applyFont="1" applyFill="1" applyBorder="1" applyAlignment="1">
      <alignment horizontal="center"/>
    </xf>
    <xf numFmtId="41" fontId="6" fillId="5" borderId="13" xfId="0" applyNumberFormat="1" applyFont="1" applyFill="1" applyBorder="1"/>
    <xf numFmtId="166" fontId="10" fillId="5" borderId="13" xfId="0" applyNumberFormat="1" applyFont="1" applyFill="1" applyBorder="1"/>
    <xf numFmtId="0" fontId="8" fillId="0" borderId="0" xfId="0" applyFont="1"/>
    <xf numFmtId="0" fontId="10" fillId="0" borderId="0" xfId="0" applyFont="1" applyAlignment="1">
      <alignment horizontal="left"/>
    </xf>
    <xf numFmtId="0" fontId="12" fillId="5" borderId="13" xfId="0" applyFont="1" applyFill="1" applyBorder="1" applyAlignment="1">
      <alignment horizontal="left"/>
    </xf>
    <xf numFmtId="37" fontId="6" fillId="0" borderId="0" xfId="0" applyNumberFormat="1" applyFont="1"/>
    <xf numFmtId="0" fontId="4" fillId="2" borderId="4" xfId="0" applyFont="1" applyFill="1" applyBorder="1" applyAlignment="1">
      <alignment horizontal="center"/>
    </xf>
    <xf numFmtId="3" fontId="6" fillId="0" borderId="0" xfId="0" applyNumberFormat="1" applyFont="1"/>
    <xf numFmtId="0" fontId="8" fillId="5" borderId="6" xfId="0" applyFont="1" applyFill="1" applyBorder="1"/>
    <xf numFmtId="0" fontId="6" fillId="5" borderId="6" xfId="0" applyFont="1" applyFill="1" applyBorder="1"/>
    <xf numFmtId="41" fontId="6" fillId="5" borderId="6" xfId="0" applyNumberFormat="1" applyFont="1" applyFill="1" applyBorder="1"/>
    <xf numFmtId="39" fontId="6" fillId="0" borderId="0" xfId="0" applyNumberFormat="1" applyFont="1"/>
    <xf numFmtId="0" fontId="7" fillId="5" borderId="6" xfId="0" applyFont="1" applyFill="1" applyBorder="1" applyAlignment="1">
      <alignment horizontal="center"/>
    </xf>
    <xf numFmtId="2" fontId="6" fillId="0" borderId="0" xfId="0" applyNumberFormat="1" applyFont="1"/>
    <xf numFmtId="2" fontId="6" fillId="5" borderId="6" xfId="0" applyNumberFormat="1" applyFont="1" applyFill="1" applyBorder="1"/>
    <xf numFmtId="10" fontId="6" fillId="5" borderId="6" xfId="0" applyNumberFormat="1" applyFont="1" applyFill="1" applyBorder="1"/>
    <xf numFmtId="6" fontId="7" fillId="0" borderId="0" xfId="0" applyNumberFormat="1" applyFont="1" applyAlignment="1">
      <alignment horizontal="center"/>
    </xf>
    <xf numFmtId="10" fontId="6" fillId="0" borderId="0" xfId="1" applyNumberFormat="1" applyFont="1"/>
    <xf numFmtId="169" fontId="6" fillId="0" borderId="0" xfId="1" applyNumberFormat="1" applyFont="1"/>
    <xf numFmtId="10" fontId="6" fillId="5" borderId="6" xfId="1" applyNumberFormat="1" applyFont="1" applyFill="1" applyBorder="1"/>
    <xf numFmtId="37" fontId="6" fillId="5" borderId="6" xfId="0" applyNumberFormat="1" applyFont="1" applyFill="1" applyBorder="1"/>
    <xf numFmtId="9" fontId="6" fillId="0" borderId="0" xfId="1" applyFont="1"/>
    <xf numFmtId="0" fontId="6" fillId="0" borderId="14" xfId="0" applyFont="1" applyBorder="1" applyAlignment="1">
      <alignment horizontal="left" indent="1"/>
    </xf>
    <xf numFmtId="0" fontId="6" fillId="0" borderId="14" xfId="0" applyFont="1" applyBorder="1"/>
    <xf numFmtId="0" fontId="7" fillId="0" borderId="14" xfId="0" applyFont="1" applyBorder="1" applyAlignment="1">
      <alignment horizontal="center"/>
    </xf>
    <xf numFmtId="9" fontId="6" fillId="0" borderId="14" xfId="0" applyNumberFormat="1" applyFont="1" applyBorder="1"/>
    <xf numFmtId="0" fontId="8" fillId="4" borderId="7" xfId="0" applyFont="1" applyFill="1" applyBorder="1" applyAlignment="1">
      <alignment horizontal="left"/>
    </xf>
    <xf numFmtId="0" fontId="6" fillId="4" borderId="7" xfId="0" applyFont="1" applyFill="1" applyBorder="1" applyAlignment="1">
      <alignment horizontal="centerContinuous"/>
    </xf>
    <xf numFmtId="16" fontId="6" fillId="0" borderId="0" xfId="0" applyNumberFormat="1" applyFont="1"/>
    <xf numFmtId="170" fontId="6" fillId="0" borderId="0" xfId="0" applyNumberFormat="1" applyFont="1"/>
    <xf numFmtId="0" fontId="8" fillId="0" borderId="0" xfId="0" applyFont="1" applyAlignment="1">
      <alignment horizontal="left"/>
    </xf>
    <xf numFmtId="0" fontId="4" fillId="2" borderId="10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6" fillId="3" borderId="14" xfId="0" applyFont="1" applyFill="1" applyBorder="1"/>
    <xf numFmtId="0" fontId="9" fillId="0" borderId="0" xfId="0" applyFont="1" applyAlignment="1">
      <alignment horizontal="center"/>
    </xf>
    <xf numFmtId="9" fontId="8" fillId="0" borderId="0" xfId="0" applyNumberFormat="1" applyFont="1"/>
    <xf numFmtId="0" fontId="13" fillId="0" borderId="0" xfId="0" applyFont="1" applyAlignment="1">
      <alignment horizontal="left" indent="1"/>
    </xf>
    <xf numFmtId="170" fontId="8" fillId="0" borderId="0" xfId="0" applyNumberFormat="1" applyFont="1"/>
    <xf numFmtId="171" fontId="6" fillId="0" borderId="0" xfId="0" applyNumberFormat="1" applyFont="1"/>
    <xf numFmtId="0" fontId="8" fillId="5" borderId="5" xfId="0" applyFont="1" applyFill="1" applyBorder="1"/>
    <xf numFmtId="0" fontId="9" fillId="5" borderId="5" xfId="0" applyFont="1" applyFill="1" applyBorder="1" applyAlignment="1">
      <alignment horizontal="center"/>
    </xf>
    <xf numFmtId="41" fontId="8" fillId="5" borderId="5" xfId="0" applyNumberFormat="1" applyFont="1" applyFill="1" applyBorder="1"/>
    <xf numFmtId="0" fontId="3" fillId="2" borderId="15" xfId="0" applyFont="1" applyFill="1" applyBorder="1"/>
    <xf numFmtId="9" fontId="8" fillId="5" borderId="5" xfId="1" applyFont="1" applyFill="1" applyBorder="1"/>
    <xf numFmtId="0" fontId="9" fillId="5" borderId="6" xfId="0" applyFont="1" applyFill="1" applyBorder="1" applyAlignment="1">
      <alignment horizontal="center"/>
    </xf>
    <xf numFmtId="44" fontId="8" fillId="5" borderId="6" xfId="2" applyFont="1" applyFill="1" applyBorder="1"/>
    <xf numFmtId="41" fontId="8" fillId="0" borderId="0" xfId="0" applyNumberFormat="1" applyFont="1"/>
    <xf numFmtId="41" fontId="8" fillId="0" borderId="0" xfId="0" applyNumberFormat="1" applyFont="1" applyAlignment="1">
      <alignment horizontal="left" indent="2"/>
    </xf>
    <xf numFmtId="0" fontId="14" fillId="0" borderId="0" xfId="0" applyFont="1"/>
    <xf numFmtId="41" fontId="6" fillId="0" borderId="0" xfId="1" applyNumberFormat="1" applyFont="1"/>
    <xf numFmtId="0" fontId="6" fillId="0" borderId="14" xfId="0" applyFont="1" applyBorder="1" applyAlignment="1">
      <alignment horizontal="left" indent="2"/>
    </xf>
    <xf numFmtId="41" fontId="6" fillId="0" borderId="14" xfId="1" applyNumberFormat="1" applyFont="1" applyBorder="1"/>
    <xf numFmtId="43" fontId="6" fillId="0" borderId="0" xfId="0" applyNumberFormat="1" applyFont="1"/>
    <xf numFmtId="41" fontId="6" fillId="0" borderId="14" xfId="0" applyNumberFormat="1" applyFont="1" applyBorder="1" applyAlignment="1">
      <alignment horizontal="left"/>
    </xf>
    <xf numFmtId="0" fontId="6" fillId="6" borderId="0" xfId="0" applyFont="1" applyFill="1"/>
    <xf numFmtId="0" fontId="15" fillId="6" borderId="0" xfId="0" applyFont="1" applyFill="1"/>
    <xf numFmtId="0" fontId="16" fillId="6" borderId="0" xfId="0" applyFont="1" applyFill="1"/>
    <xf numFmtId="2" fontId="17" fillId="6" borderId="0" xfId="0" applyNumberFormat="1" applyFont="1" applyFill="1"/>
    <xf numFmtId="10" fontId="4" fillId="6" borderId="0" xfId="0" applyNumberFormat="1" applyFont="1" applyFill="1"/>
    <xf numFmtId="43" fontId="13" fillId="7" borderId="0" xfId="3" applyFont="1" applyFill="1"/>
    <xf numFmtId="43" fontId="6" fillId="7" borderId="0" xfId="3" applyFont="1" applyFill="1"/>
    <xf numFmtId="44" fontId="6" fillId="6" borderId="0" xfId="0" applyNumberFormat="1" applyFont="1" applyFill="1"/>
    <xf numFmtId="0" fontId="4" fillId="2" borderId="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0201"/>
      <color rgb="FF00FF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vin Yang" id="{E2D199A6-D837-7444-9E56-2A9B61120418}" userId="S::yangkev@uchicago.edu::9c3af233-0e68-44c8-ba5f-9783acbada0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9" dT="2023-02-20T00:06:17.84" personId="{E2D199A6-D837-7444-9E56-2A9B61120418}" id="{A7E11077-5AA4-AD4E-AD42-528227CB17FA}">
    <text>% of revenue</text>
  </threadedComment>
  <threadedComment ref="B35" dT="2023-02-15T19:01:03.71" personId="{E2D199A6-D837-7444-9E56-2A9B61120418}" id="{CCC5F433-6E1E-6C4C-8739-6EAC6F79E2A2}">
    <text>From 10-K</text>
  </threadedComment>
  <threadedComment ref="B39" dT="2023-02-20T00:25:45.34" personId="{E2D199A6-D837-7444-9E56-2A9B61120418}" id="{7E2DE0C3-9511-1A48-A99D-178B4E43531E}">
    <text>Unit economics rate</text>
  </threadedComment>
  <threadedComment ref="B65" dT="2023-02-20T00:47:57.36" personId="{E2D199A6-D837-7444-9E56-2A9B61120418}" id="{C5F82808-DC14-EE4E-B14F-37EF66A1E7F2}">
    <text>Connects to sales and marketing expenses</text>
  </threadedComment>
  <threadedComment ref="B66" dT="2023-02-20T00:48:13.65" personId="{E2D199A6-D837-7444-9E56-2A9B61120418}" id="{55FC186A-ADF2-F347-8924-BA06A6C1831D}">
    <text>Cost of revenue</text>
  </threadedComment>
  <threadedComment ref="B67" dT="2023-02-20T00:48:35.73" personId="{E2D199A6-D837-7444-9E56-2A9B61120418}" id="{D5834B51-BC8F-7845-A16F-277E85C02422}">
    <text>Sales and marketing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2" dT="2023-02-19T23:45:26.57" personId="{E2D199A6-D837-7444-9E56-2A9B61120418}" id="{E5FDF516-A4B8-9046-A104-D595045A7593}">
    <text>Percent of revenue, D&amp;A is artificially high, break down D&amp;A to two things (in 10K): Intangible assets has schedule use that, project out intangibles, regular D&amp;A % of revenue</text>
  </threadedComment>
  <threadedComment ref="B20" dT="2023-02-19T23:41:51.99" personId="{E2D199A6-D837-7444-9E56-2A9B61120418}" id="{601D229B-F5CD-F948-B3FC-AF83824CAA54}">
    <text>Cut to a bilion</text>
  </threadedComment>
  <threadedComment ref="B21" dT="2023-02-19T23:42:57.27" personId="{E2D199A6-D837-7444-9E56-2A9B61120418}" id="{91D8A2CC-B932-1442-8B38-850B861CC34E}">
    <text>Calculate CAC, Total number of new customers acquired * Cost per customer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7" dT="2023-02-13T22:31:01.57" personId="{E2D199A6-D837-7444-9E56-2A9B61120418}" id="{85FB89A3-E8F9-C049-B7EE-392CC795BB11}">
    <text>No direct line item in CFS</text>
  </threadedComment>
  <threadedComment ref="B9" dT="2023-02-20T00:11:35.17" personId="{E2D199A6-D837-7444-9E56-2A9B61120418}" id="{C1D9D1C8-773F-4E4E-A004-401B0819D253}">
    <text>Add to NWC</text>
  </threadedComment>
  <threadedComment ref="B10" dT="2023-02-20T00:07:22.62" personId="{E2D199A6-D837-7444-9E56-2A9B61120418}" id="{572685BE-5B36-6949-B7C0-7DDE7CBA941C}">
    <text>Expenses</text>
  </threadedComment>
  <threadedComment ref="B11" dT="2023-02-20T00:02:41.68" personId="{E2D199A6-D837-7444-9E56-2A9B61120418}" id="{EAD83ED0-6021-094F-80C7-0D2F3CBE51FA}">
    <text>% of transaction volume</text>
  </threadedComment>
  <threadedComment ref="B17" dT="2023-02-20T00:03:55.74" personId="{E2D199A6-D837-7444-9E56-2A9B61120418}" id="{75F2CA70-A806-2D42-BFE1-DA0C8A982418}">
    <text>Depreciation sechdule for intangibles</text>
  </threadedComment>
  <threadedComment ref="B19" dT="2023-02-20T00:06:17.84" personId="{E2D199A6-D837-7444-9E56-2A9B61120418}" id="{E4B6F5EA-9F61-F948-9E8C-38025549BD4F}">
    <text>% of revenue</text>
  </threadedComment>
  <threadedComment ref="B32" dT="2023-02-20T00:04:24.38" personId="{E2D199A6-D837-7444-9E56-2A9B61120418}" id="{E10A19BE-9DCC-D441-9658-6A9B30DFB7C4}">
    <text>% of TPV</text>
  </threadedComment>
  <threadedComment ref="B36" dT="2023-02-20T00:14:51.47" personId="{E2D199A6-D837-7444-9E56-2A9B61120418}" id="{FEED2B72-3616-1443-9372-DD64F5808A00}">
    <text>% of rev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4" dT="2023-02-20T00:18:22.83" personId="{E2D199A6-D837-7444-9E56-2A9B61120418}" id="{B0133EE1-218D-A14F-9514-76846EF4DC04}">
    <text xml:space="preserve">% of loss on acquired card receivables, project out, first find out what acquired card receievables are </text>
  </threadedComment>
  <threadedComment ref="B24" dT="2023-02-13T22:36:28.49" personId="{E2D199A6-D837-7444-9E56-2A9B61120418}" id="{C5B1EF6E-34C3-B64F-80B7-A06D4BB3AE52}">
    <text>Added for clarity since Balance Sheet Line Item was a part of another line item</text>
  </threadedComment>
  <threadedComment ref="B39" dT="2023-02-19T23:59:07.46" personId="{E2D199A6-D837-7444-9E56-2A9B61120418}" id="{ED527374-D073-674D-8DA8-774F8BA00310}">
    <text>% of revenue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H36" dT="2023-02-22T22:01:20.66" personId="{E2D199A6-D837-7444-9E56-2A9B61120418}" id="{1CFFBE94-767E-8949-BF3C-A1EDFC16A9FB}">
    <text>The effective interest rates during the year ended June 30, 2022, which consisted of the 2027 Notes and the 2025 Notes after the adoption of ASU 2020-06 beginning July 1, 2021 were 0.48% and 0.36%, respectively. The effective interest rate during the year ended June 30, 2021, which includes the 2025 Notes and prior to the adoption of ASU 2020-06 was 5.37% and was based on the interest rate of similar debt instruments, at the time of the offering, that do not have associated convertible features.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05701-BD92-B345-8510-27B61285AEE7}">
  <dimension ref="A2:AE124"/>
  <sheetViews>
    <sheetView showGridLines="0" zoomScale="79" zoomScaleNormal="116" workbookViewId="0">
      <selection activeCell="M21" sqref="M21"/>
    </sheetView>
  </sheetViews>
  <sheetFormatPr baseColWidth="10" defaultRowHeight="16" x14ac:dyDescent="0.2"/>
  <cols>
    <col min="1" max="1" width="3.83203125" style="8" customWidth="1"/>
    <col min="2" max="2" width="40" style="8" bestFit="1" customWidth="1"/>
    <col min="3" max="5" width="13.33203125" style="8" customWidth="1"/>
    <col min="6" max="6" width="13" style="8" bestFit="1" customWidth="1"/>
    <col min="7" max="7" width="17.5" style="8" bestFit="1" customWidth="1"/>
    <col min="8" max="8" width="13.1640625" style="8" bestFit="1" customWidth="1"/>
    <col min="9" max="9" width="15.1640625" style="8" customWidth="1"/>
    <col min="10" max="15" width="13.1640625" style="8" bestFit="1" customWidth="1"/>
    <col min="16" max="22" width="14.6640625" style="8" bestFit="1" customWidth="1"/>
    <col min="23" max="23" width="14" style="8" bestFit="1" customWidth="1"/>
    <col min="24" max="16384" width="10.83203125" style="8"/>
  </cols>
  <sheetData>
    <row r="2" spans="2:31" x14ac:dyDescent="0.2">
      <c r="B2" s="1"/>
      <c r="C2" s="1"/>
      <c r="D2" s="1"/>
      <c r="E2" s="1"/>
      <c r="F2" s="118" t="s">
        <v>76</v>
      </c>
      <c r="G2" s="118"/>
      <c r="H2" s="119"/>
      <c r="I2" s="117" t="s">
        <v>77</v>
      </c>
      <c r="J2" s="118"/>
      <c r="K2" s="118"/>
      <c r="L2" s="118"/>
      <c r="M2" s="118"/>
      <c r="N2" s="118"/>
      <c r="O2" s="118"/>
      <c r="P2" s="118"/>
      <c r="Q2" s="118"/>
      <c r="R2" s="118"/>
      <c r="S2" s="118"/>
    </row>
    <row r="3" spans="2:31" x14ac:dyDescent="0.2">
      <c r="B3" s="51" t="s">
        <v>235</v>
      </c>
      <c r="C3" s="1"/>
      <c r="D3" s="27" t="s">
        <v>79</v>
      </c>
      <c r="E3" s="27"/>
      <c r="F3" s="5" t="s">
        <v>80</v>
      </c>
      <c r="G3" s="5" t="s">
        <v>81</v>
      </c>
      <c r="H3" s="61" t="s">
        <v>82</v>
      </c>
      <c r="I3" s="5" t="s">
        <v>83</v>
      </c>
      <c r="J3" s="5" t="s">
        <v>84</v>
      </c>
      <c r="K3" s="4" t="s">
        <v>85</v>
      </c>
      <c r="L3" s="5" t="s">
        <v>86</v>
      </c>
      <c r="M3" s="5" t="s">
        <v>88</v>
      </c>
      <c r="N3" s="5" t="s">
        <v>117</v>
      </c>
      <c r="O3" s="5" t="s">
        <v>118</v>
      </c>
      <c r="P3" s="5" t="s">
        <v>119</v>
      </c>
      <c r="Q3" s="5" t="s">
        <v>120</v>
      </c>
      <c r="R3" s="5" t="s">
        <v>121</v>
      </c>
      <c r="S3" s="5" t="s">
        <v>122</v>
      </c>
    </row>
    <row r="4" spans="2:31" x14ac:dyDescent="0.2">
      <c r="B4" s="81" t="s">
        <v>116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</row>
    <row r="5" spans="2:31" x14ac:dyDescent="0.2"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</row>
    <row r="6" spans="2:31" x14ac:dyDescent="0.2">
      <c r="B6" s="8" t="s">
        <v>223</v>
      </c>
      <c r="C6" s="83"/>
      <c r="D6" s="9" t="s">
        <v>113</v>
      </c>
      <c r="E6" s="9"/>
      <c r="I6" s="20">
        <v>0.15</v>
      </c>
      <c r="J6" s="20">
        <v>0.14000000000000001</v>
      </c>
      <c r="K6" s="20">
        <v>0.13</v>
      </c>
      <c r="L6" s="20">
        <v>0.12</v>
      </c>
      <c r="M6" s="20">
        <v>0.12</v>
      </c>
      <c r="N6" s="20">
        <v>0.12</v>
      </c>
      <c r="O6" s="20">
        <v>0.12</v>
      </c>
      <c r="P6" s="20">
        <v>0.12</v>
      </c>
      <c r="Q6" s="20">
        <v>0.12</v>
      </c>
      <c r="R6" s="20">
        <v>0.12</v>
      </c>
      <c r="S6" s="20">
        <v>0.12</v>
      </c>
    </row>
    <row r="7" spans="2:31" x14ac:dyDescent="0.2">
      <c r="B7" s="8" t="s">
        <v>224</v>
      </c>
      <c r="D7" s="9" t="s">
        <v>113</v>
      </c>
      <c r="F7" s="76">
        <f>'Income Statement'!E20/'Income Statement'!E9</f>
        <v>0.33626903553299492</v>
      </c>
      <c r="G7" s="76">
        <f>'Income Statement'!F20/'Income Statement'!F9</f>
        <v>0.37564476528235369</v>
      </c>
      <c r="H7" s="76">
        <f>'Income Statement'!G20/'Income Statement'!G9</f>
        <v>0.34241750641396101</v>
      </c>
      <c r="I7" s="20">
        <v>0.32</v>
      </c>
      <c r="J7" s="20">
        <v>0.3</v>
      </c>
      <c r="K7" s="20">
        <v>0.28000000000000003</v>
      </c>
      <c r="L7" s="20">
        <v>0.26</v>
      </c>
      <c r="M7" s="20">
        <v>0.24</v>
      </c>
      <c r="N7" s="20">
        <v>0.22</v>
      </c>
      <c r="O7" s="20">
        <v>0.2</v>
      </c>
      <c r="P7" s="20">
        <v>0.2</v>
      </c>
      <c r="Q7" s="20">
        <v>0.2</v>
      </c>
      <c r="R7" s="20">
        <v>0.2</v>
      </c>
      <c r="S7" s="20">
        <v>0.2</v>
      </c>
      <c r="X7" s="20"/>
      <c r="Y7" s="20"/>
      <c r="Z7" s="20"/>
      <c r="AA7" s="20"/>
      <c r="AB7" s="20"/>
      <c r="AC7" s="20"/>
      <c r="AD7" s="20"/>
      <c r="AE7" s="20"/>
    </row>
    <row r="8" spans="2:31" x14ac:dyDescent="0.2">
      <c r="B8" s="8" t="s">
        <v>225</v>
      </c>
      <c r="D8" s="9" t="s">
        <v>113</v>
      </c>
      <c r="F8" s="76">
        <f>'Income Statement'!E22/'Income Statement'!E9</f>
        <v>0.3391497461928934</v>
      </c>
      <c r="G8" s="76">
        <f>'Income Statement'!F22/'Income Statement'!F9</f>
        <v>0.53770381717835181</v>
      </c>
      <c r="H8" s="76">
        <f>'Income Statement'!G22/'Income Statement'!G9</f>
        <v>0.37568442844480721</v>
      </c>
      <c r="I8" s="20">
        <v>0.36</v>
      </c>
      <c r="J8" s="20">
        <v>0.34</v>
      </c>
      <c r="K8" s="20">
        <v>0.32</v>
      </c>
      <c r="L8" s="20">
        <v>0.3</v>
      </c>
      <c r="M8" s="20">
        <v>0.28000000000000003</v>
      </c>
      <c r="N8" s="20">
        <v>0.26</v>
      </c>
      <c r="O8" s="20">
        <v>0.24</v>
      </c>
      <c r="P8" s="20">
        <v>0.24</v>
      </c>
      <c r="Q8" s="20">
        <v>0.24</v>
      </c>
      <c r="R8" s="20">
        <v>0.24</v>
      </c>
      <c r="S8" s="20">
        <v>0.24</v>
      </c>
      <c r="X8" s="20"/>
      <c r="Y8" s="20"/>
      <c r="Z8" s="20"/>
      <c r="AA8" s="20"/>
      <c r="AB8" s="20"/>
      <c r="AC8" s="20"/>
      <c r="AD8" s="20"/>
      <c r="AE8" s="20"/>
    </row>
    <row r="9" spans="2:31" x14ac:dyDescent="0.2">
      <c r="B9" s="8" t="s">
        <v>103</v>
      </c>
      <c r="D9" s="9" t="s">
        <v>113</v>
      </c>
      <c r="F9" s="76">
        <f>'Income Statement'!E23/'Income Statement'!E9</f>
        <v>7.2208121827411166E-3</v>
      </c>
      <c r="G9" s="76">
        <f>'Income Statement'!F23/'Income Statement'!F9</f>
        <v>2.0447820703838163E-2</v>
      </c>
      <c r="H9" s="76">
        <f>'Income Statement'!G23/'Income Statement'!G9</f>
        <v>7.1079305687746411E-2</v>
      </c>
      <c r="I9" s="20">
        <v>0.06</v>
      </c>
      <c r="J9" s="20">
        <v>0.05</v>
      </c>
      <c r="K9" s="20">
        <v>0.04</v>
      </c>
      <c r="L9" s="20">
        <v>0.03</v>
      </c>
      <c r="M9" s="20">
        <v>0.03</v>
      </c>
      <c r="N9" s="20">
        <v>0.03</v>
      </c>
      <c r="O9" s="20">
        <v>0.03</v>
      </c>
      <c r="P9" s="20">
        <v>0.03</v>
      </c>
      <c r="Q9" s="20">
        <v>0.03</v>
      </c>
      <c r="R9" s="20">
        <v>0.03</v>
      </c>
      <c r="S9" s="20">
        <v>0.03</v>
      </c>
      <c r="X9" s="20"/>
      <c r="Y9" s="20"/>
      <c r="Z9" s="20"/>
      <c r="AA9" s="20"/>
      <c r="AB9" s="20"/>
      <c r="AC9" s="20"/>
      <c r="AD9" s="20"/>
      <c r="AE9" s="20"/>
    </row>
    <row r="11" spans="2:31" x14ac:dyDescent="0.2">
      <c r="B11" s="81" t="s">
        <v>123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</row>
    <row r="13" spans="2:31" x14ac:dyDescent="0.2">
      <c r="B13" s="8" t="s">
        <v>52</v>
      </c>
    </row>
    <row r="14" spans="2:31" x14ac:dyDescent="0.2">
      <c r="B14" s="11" t="s">
        <v>226</v>
      </c>
      <c r="D14" s="9" t="s">
        <v>113</v>
      </c>
      <c r="G14" s="76">
        <f>'Balance Sheet'!E8/'Income Statement'!F$9</f>
        <v>7.6477871277778942E-2</v>
      </c>
      <c r="H14" s="76">
        <f>'Balance Sheet'!F8/'Income Statement'!G$9</f>
        <v>3.7455663056363414E-2</v>
      </c>
      <c r="I14" s="76">
        <f>AVERAGE($G$14:$H$14)</f>
        <v>5.6966767167071178E-2</v>
      </c>
      <c r="J14" s="76">
        <f t="shared" ref="J14:S14" si="0">AVERAGE($G$14:$H$14)</f>
        <v>5.6966767167071178E-2</v>
      </c>
      <c r="K14" s="76">
        <f t="shared" si="0"/>
        <v>5.6966767167071178E-2</v>
      </c>
      <c r="L14" s="76">
        <f t="shared" si="0"/>
        <v>5.6966767167071178E-2</v>
      </c>
      <c r="M14" s="76">
        <f t="shared" si="0"/>
        <v>5.6966767167071178E-2</v>
      </c>
      <c r="N14" s="76">
        <f t="shared" si="0"/>
        <v>5.6966767167071178E-2</v>
      </c>
      <c r="O14" s="76">
        <f t="shared" si="0"/>
        <v>5.6966767167071178E-2</v>
      </c>
      <c r="P14" s="76">
        <f t="shared" si="0"/>
        <v>5.6966767167071178E-2</v>
      </c>
      <c r="Q14" s="76">
        <f t="shared" si="0"/>
        <v>5.6966767167071178E-2</v>
      </c>
      <c r="R14" s="76">
        <f t="shared" si="0"/>
        <v>5.6966767167071178E-2</v>
      </c>
      <c r="S14" s="76">
        <f t="shared" si="0"/>
        <v>5.6966767167071178E-2</v>
      </c>
    </row>
    <row r="15" spans="2:31" x14ac:dyDescent="0.2">
      <c r="B15" s="11" t="s">
        <v>227</v>
      </c>
      <c r="D15" s="9" t="s">
        <v>113</v>
      </c>
      <c r="G15" s="76">
        <f>'Balance Sheet'!E9/'Income Statement'!F$9</f>
        <v>0.61735042914402027</v>
      </c>
      <c r="H15" s="76">
        <f>'Balance Sheet'!F9/'Income Statement'!G$9</f>
        <v>0.39938999219576327</v>
      </c>
      <c r="I15" s="76">
        <v>0.38</v>
      </c>
      <c r="J15" s="76">
        <v>0.38</v>
      </c>
      <c r="K15" s="76">
        <v>0.38</v>
      </c>
      <c r="L15" s="76">
        <v>0.38</v>
      </c>
      <c r="M15" s="76">
        <v>0.38</v>
      </c>
      <c r="N15" s="76">
        <v>0.38</v>
      </c>
      <c r="O15" s="76">
        <v>0.38</v>
      </c>
      <c r="P15" s="76">
        <v>0.38</v>
      </c>
      <c r="Q15" s="76">
        <v>0.38</v>
      </c>
      <c r="R15" s="76">
        <v>0.38</v>
      </c>
      <c r="S15" s="76">
        <v>0.38</v>
      </c>
    </row>
    <row r="16" spans="2:31" x14ac:dyDescent="0.2">
      <c r="B16" s="11" t="s">
        <v>228</v>
      </c>
      <c r="D16" s="9" t="s">
        <v>113</v>
      </c>
      <c r="G16" s="76">
        <f>'Balance Sheet'!E10/'Income Statement'!F9</f>
        <v>0.28201792122216857</v>
      </c>
      <c r="H16" s="76">
        <f>'Balance Sheet'!F10/'Income Statement'!G9</f>
        <v>0.23561940871613296</v>
      </c>
      <c r="I16" s="76">
        <f>AVERAGE($G$16:$H$16)</f>
        <v>0.25881866496915074</v>
      </c>
      <c r="J16" s="76">
        <f t="shared" ref="J16:S16" si="1">AVERAGE($G$16:$H$16)</f>
        <v>0.25881866496915074</v>
      </c>
      <c r="K16" s="76">
        <f t="shared" si="1"/>
        <v>0.25881866496915074</v>
      </c>
      <c r="L16" s="76">
        <f t="shared" si="1"/>
        <v>0.25881866496915074</v>
      </c>
      <c r="M16" s="76">
        <f t="shared" si="1"/>
        <v>0.25881866496915074</v>
      </c>
      <c r="N16" s="76">
        <f t="shared" si="1"/>
        <v>0.25881866496915074</v>
      </c>
      <c r="O16" s="76">
        <f t="shared" si="1"/>
        <v>0.25881866496915074</v>
      </c>
      <c r="P16" s="76">
        <f t="shared" si="1"/>
        <v>0.25881866496915074</v>
      </c>
      <c r="Q16" s="76">
        <f t="shared" si="1"/>
        <v>0.25881866496915074</v>
      </c>
      <c r="R16" s="76">
        <f t="shared" si="1"/>
        <v>0.25881866496915074</v>
      </c>
      <c r="S16" s="76">
        <f t="shared" si="1"/>
        <v>0.25881866496915074</v>
      </c>
    </row>
    <row r="17" spans="1:20" x14ac:dyDescent="0.2">
      <c r="B17" s="11"/>
      <c r="D17" s="9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</row>
    <row r="18" spans="1:20" x14ac:dyDescent="0.2">
      <c r="B18" s="34" t="s">
        <v>58</v>
      </c>
      <c r="D18" s="9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</row>
    <row r="19" spans="1:20" x14ac:dyDescent="0.2">
      <c r="B19" s="11" t="s">
        <v>229</v>
      </c>
      <c r="D19" s="9" t="s">
        <v>113</v>
      </c>
      <c r="G19" s="76">
        <f>'Balance Sheet'!E19/'Income Statement'!F9</f>
        <v>0.22212662371728958</v>
      </c>
      <c r="H19" s="76">
        <f>'Balance Sheet'!F19/'Income Statement'!G9</f>
        <v>7.4350542635900421E-2</v>
      </c>
      <c r="I19" s="76">
        <v>7.0000000000000007E-2</v>
      </c>
      <c r="J19" s="76">
        <v>7.0000000000000007E-2</v>
      </c>
      <c r="K19" s="76">
        <v>7.0000000000000007E-2</v>
      </c>
      <c r="L19" s="76">
        <v>7.0000000000000007E-2</v>
      </c>
      <c r="M19" s="76">
        <v>7.0000000000000007E-2</v>
      </c>
      <c r="N19" s="76">
        <v>7.0000000000000007E-2</v>
      </c>
      <c r="O19" s="76">
        <v>7.0000000000000007E-2</v>
      </c>
      <c r="P19" s="76">
        <v>7.0000000000000007E-2</v>
      </c>
      <c r="Q19" s="76">
        <v>7.0000000000000007E-2</v>
      </c>
      <c r="R19" s="76">
        <v>7.0000000000000007E-2</v>
      </c>
      <c r="S19" s="76">
        <v>7.0000000000000007E-2</v>
      </c>
    </row>
    <row r="20" spans="1:20" x14ac:dyDescent="0.2">
      <c r="B20" s="11"/>
      <c r="D20" s="9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</row>
    <row r="21" spans="1:20" x14ac:dyDescent="0.2">
      <c r="B21" s="34" t="s">
        <v>64</v>
      </c>
      <c r="D21" s="9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</row>
    <row r="22" spans="1:20" x14ac:dyDescent="0.2">
      <c r="B22" s="11" t="s">
        <v>126</v>
      </c>
      <c r="D22" s="9" t="s">
        <v>113</v>
      </c>
      <c r="G22" s="76">
        <f>'Balance Sheet'!E27/'Income Statement'!F15</f>
        <v>0.19260265993592854</v>
      </c>
      <c r="H22" s="76">
        <f>'Balance Sheet'!F27/'Income Statement'!G15</f>
        <v>6.8605003999889655E-2</v>
      </c>
      <c r="I22" s="76">
        <f>AVERAGE($G$22:$H$22)</f>
        <v>0.13060383196790909</v>
      </c>
      <c r="J22" s="76">
        <f t="shared" ref="J22:S22" si="2">AVERAGE($G$22:$H$22)</f>
        <v>0.13060383196790909</v>
      </c>
      <c r="K22" s="76">
        <f t="shared" si="2"/>
        <v>0.13060383196790909</v>
      </c>
      <c r="L22" s="76">
        <f t="shared" si="2"/>
        <v>0.13060383196790909</v>
      </c>
      <c r="M22" s="76">
        <f t="shared" si="2"/>
        <v>0.13060383196790909</v>
      </c>
      <c r="N22" s="76">
        <f t="shared" si="2"/>
        <v>0.13060383196790909</v>
      </c>
      <c r="O22" s="76">
        <f t="shared" si="2"/>
        <v>0.13060383196790909</v>
      </c>
      <c r="P22" s="76">
        <f t="shared" si="2"/>
        <v>0.13060383196790909</v>
      </c>
      <c r="Q22" s="76">
        <f t="shared" si="2"/>
        <v>0.13060383196790909</v>
      </c>
      <c r="R22" s="76">
        <f t="shared" si="2"/>
        <v>0.13060383196790909</v>
      </c>
      <c r="S22" s="76">
        <f t="shared" si="2"/>
        <v>0.13060383196790909</v>
      </c>
    </row>
    <row r="23" spans="1:20" x14ac:dyDescent="0.2">
      <c r="B23" s="11" t="s">
        <v>232</v>
      </c>
      <c r="D23" s="9" t="s">
        <v>113</v>
      </c>
      <c r="G23" s="76">
        <f>'Balance Sheet'!E28/'Income Statement'!E24</f>
        <v>0.1328953057240557</v>
      </c>
      <c r="H23" s="76">
        <f>'Balance Sheet'!F28/'Income Statement'!F24</f>
        <v>9.9867091789302614E-2</v>
      </c>
      <c r="I23" s="76">
        <f>AVERAGE($G$23:$H$23)</f>
        <v>0.11638119875667916</v>
      </c>
      <c r="J23" s="76">
        <f t="shared" ref="J23:S23" si="3">AVERAGE($G$23:$H$23)</f>
        <v>0.11638119875667916</v>
      </c>
      <c r="K23" s="76">
        <f t="shared" si="3"/>
        <v>0.11638119875667916</v>
      </c>
      <c r="L23" s="76">
        <f t="shared" si="3"/>
        <v>0.11638119875667916</v>
      </c>
      <c r="M23" s="76">
        <f t="shared" si="3"/>
        <v>0.11638119875667916</v>
      </c>
      <c r="N23" s="76">
        <f t="shared" si="3"/>
        <v>0.11638119875667916</v>
      </c>
      <c r="O23" s="76">
        <f t="shared" si="3"/>
        <v>0.11638119875667916</v>
      </c>
      <c r="P23" s="76">
        <f t="shared" si="3"/>
        <v>0.11638119875667916</v>
      </c>
      <c r="Q23" s="76">
        <f t="shared" si="3"/>
        <v>0.11638119875667916</v>
      </c>
      <c r="R23" s="76">
        <f t="shared" si="3"/>
        <v>0.11638119875667916</v>
      </c>
      <c r="S23" s="76">
        <f t="shared" si="3"/>
        <v>0.11638119875667916</v>
      </c>
    </row>
    <row r="24" spans="1:20" x14ac:dyDescent="0.2">
      <c r="B24" s="11" t="s">
        <v>230</v>
      </c>
      <c r="D24" s="9" t="s">
        <v>113</v>
      </c>
      <c r="G24" s="76">
        <f>'Balance Sheet'!E29/'Income Statement'!F9</f>
        <v>5.392315279205926E-2</v>
      </c>
      <c r="H24" s="76">
        <f>'Balance Sheet'!F29/'Income Statement'!G9</f>
        <v>4.9641799554177135E-2</v>
      </c>
      <c r="I24" s="76">
        <f>AVERAGE($G$24:$H$24)</f>
        <v>5.1782476173118194E-2</v>
      </c>
      <c r="J24" s="76">
        <f t="shared" ref="J24:S24" si="4">AVERAGE($G$24:$H$24)</f>
        <v>5.1782476173118194E-2</v>
      </c>
      <c r="K24" s="76">
        <f t="shared" si="4"/>
        <v>5.1782476173118194E-2</v>
      </c>
      <c r="L24" s="76">
        <f t="shared" si="4"/>
        <v>5.1782476173118194E-2</v>
      </c>
      <c r="M24" s="76">
        <f t="shared" si="4"/>
        <v>5.1782476173118194E-2</v>
      </c>
      <c r="N24" s="76">
        <f t="shared" si="4"/>
        <v>5.1782476173118194E-2</v>
      </c>
      <c r="O24" s="76">
        <f t="shared" si="4"/>
        <v>5.1782476173118194E-2</v>
      </c>
      <c r="P24" s="76">
        <f t="shared" si="4"/>
        <v>5.1782476173118194E-2</v>
      </c>
      <c r="Q24" s="76">
        <f t="shared" si="4"/>
        <v>5.1782476173118194E-2</v>
      </c>
      <c r="R24" s="76">
        <f t="shared" si="4"/>
        <v>5.1782476173118194E-2</v>
      </c>
      <c r="S24" s="76">
        <f t="shared" si="4"/>
        <v>5.1782476173118194E-2</v>
      </c>
    </row>
    <row r="25" spans="1:20" x14ac:dyDescent="0.2">
      <c r="B25" s="11" t="s">
        <v>231</v>
      </c>
      <c r="D25" s="9" t="s">
        <v>113</v>
      </c>
      <c r="G25" s="76">
        <f>'Balance Sheet'!E30/'Income Statement'!F24</f>
        <v>0.24798743914112373</v>
      </c>
      <c r="H25" s="76">
        <f>'Balance Sheet'!F30/'Income Statement'!G24</f>
        <v>0.14755957742515419</v>
      </c>
      <c r="I25" s="76">
        <f>AVERAGE($G$25:$H$25)</f>
        <v>0.19777350828313894</v>
      </c>
      <c r="J25" s="76">
        <f t="shared" ref="J25:S25" si="5">AVERAGE($G$25:$H$25)</f>
        <v>0.19777350828313894</v>
      </c>
      <c r="K25" s="76">
        <f t="shared" si="5"/>
        <v>0.19777350828313894</v>
      </c>
      <c r="L25" s="76">
        <f t="shared" si="5"/>
        <v>0.19777350828313894</v>
      </c>
      <c r="M25" s="76">
        <f t="shared" si="5"/>
        <v>0.19777350828313894</v>
      </c>
      <c r="N25" s="76">
        <f t="shared" si="5"/>
        <v>0.19777350828313894</v>
      </c>
      <c r="O25" s="76">
        <f t="shared" si="5"/>
        <v>0.19777350828313894</v>
      </c>
      <c r="P25" s="76">
        <f t="shared" si="5"/>
        <v>0.19777350828313894</v>
      </c>
      <c r="Q25" s="76">
        <f t="shared" si="5"/>
        <v>0.19777350828313894</v>
      </c>
      <c r="R25" s="76">
        <f t="shared" si="5"/>
        <v>0.19777350828313894</v>
      </c>
      <c r="S25" s="76">
        <f t="shared" si="5"/>
        <v>0.19777350828313894</v>
      </c>
    </row>
    <row r="26" spans="1:20" x14ac:dyDescent="0.2">
      <c r="B26" s="11" t="s">
        <v>233</v>
      </c>
      <c r="D26" s="9" t="s">
        <v>113</v>
      </c>
      <c r="G26" s="76">
        <f>'Balance Sheet'!E11/Assumptions!G39</f>
        <v>1.5741518417151327E-2</v>
      </c>
      <c r="H26" s="76">
        <f>'Balance Sheet'!F11/(Assumptions!H39+Assumptions!H43)</f>
        <v>1.3541278869355395E-2</v>
      </c>
      <c r="I26" s="76">
        <v>1.35E-2</v>
      </c>
      <c r="J26" s="76">
        <v>1.35E-2</v>
      </c>
      <c r="K26" s="76">
        <v>1.35E-2</v>
      </c>
      <c r="L26" s="76">
        <v>1.35E-2</v>
      </c>
      <c r="M26" s="76">
        <v>1.35E-2</v>
      </c>
      <c r="N26" s="76">
        <v>1.35E-2</v>
      </c>
      <c r="O26" s="76">
        <v>1.35E-2</v>
      </c>
      <c r="P26" s="76">
        <v>1.35E-2</v>
      </c>
      <c r="Q26" s="76">
        <v>1.35E-2</v>
      </c>
      <c r="R26" s="76">
        <v>1.35E-2</v>
      </c>
      <c r="S26" s="76">
        <v>1.35E-2</v>
      </c>
    </row>
    <row r="27" spans="1:20" x14ac:dyDescent="0.2">
      <c r="J27" s="41"/>
    </row>
    <row r="28" spans="1:20" x14ac:dyDescent="0.2">
      <c r="B28" s="34" t="s">
        <v>69</v>
      </c>
      <c r="J28" s="41"/>
    </row>
    <row r="29" spans="1:20" x14ac:dyDescent="0.2">
      <c r="B29" s="11" t="s">
        <v>234</v>
      </c>
      <c r="D29" s="9" t="s">
        <v>113</v>
      </c>
      <c r="G29" s="76">
        <f>'Balance Sheet'!E36/'Income Statement'!F9</f>
        <v>1.2280444043397058E-2</v>
      </c>
      <c r="H29" s="76">
        <f>'Balance Sheet'!F36/'Income Statement'!G9</f>
        <v>3.3631431290783369E-3</v>
      </c>
      <c r="I29" s="76">
        <f>AVERAGE($G$29:$H$29)</f>
        <v>7.8217935862376978E-3</v>
      </c>
      <c r="J29" s="76">
        <f t="shared" ref="J29:S29" si="6">AVERAGE($G$29:$H$29)</f>
        <v>7.8217935862376978E-3</v>
      </c>
      <c r="K29" s="76">
        <f t="shared" si="6"/>
        <v>7.8217935862376978E-3</v>
      </c>
      <c r="L29" s="76">
        <f t="shared" si="6"/>
        <v>7.8217935862376978E-3</v>
      </c>
      <c r="M29" s="76">
        <f t="shared" si="6"/>
        <v>7.8217935862376978E-3</v>
      </c>
      <c r="N29" s="76">
        <f t="shared" si="6"/>
        <v>7.8217935862376978E-3</v>
      </c>
      <c r="O29" s="76">
        <f t="shared" si="6"/>
        <v>7.8217935862376978E-3</v>
      </c>
      <c r="P29" s="76">
        <f t="shared" si="6"/>
        <v>7.8217935862376978E-3</v>
      </c>
      <c r="Q29" s="76">
        <f t="shared" si="6"/>
        <v>7.8217935862376978E-3</v>
      </c>
      <c r="R29" s="76">
        <f t="shared" si="6"/>
        <v>7.8217935862376978E-3</v>
      </c>
      <c r="S29" s="76">
        <f t="shared" si="6"/>
        <v>7.8217935862376978E-3</v>
      </c>
    </row>
    <row r="30" spans="1:20" x14ac:dyDescent="0.2">
      <c r="B30" s="11"/>
      <c r="J30" s="41"/>
    </row>
    <row r="31" spans="1:20" x14ac:dyDescent="0.2">
      <c r="B31" s="1"/>
      <c r="C31" s="1"/>
      <c r="D31" s="1"/>
      <c r="E31" s="1"/>
      <c r="F31" s="118" t="s">
        <v>76</v>
      </c>
      <c r="G31" s="118"/>
      <c r="H31" s="119"/>
      <c r="I31" s="117" t="s">
        <v>77</v>
      </c>
      <c r="J31" s="118"/>
      <c r="K31" s="118"/>
      <c r="L31" s="118"/>
      <c r="M31" s="118"/>
      <c r="N31" s="118"/>
      <c r="O31" s="118"/>
      <c r="P31" s="118"/>
      <c r="Q31" s="118"/>
      <c r="R31" s="118"/>
      <c r="S31" s="118"/>
    </row>
    <row r="32" spans="1:20" s="36" customFormat="1" x14ac:dyDescent="0.2">
      <c r="A32" s="36" t="s">
        <v>257</v>
      </c>
      <c r="B32" s="2" t="s">
        <v>137</v>
      </c>
      <c r="C32" s="1"/>
      <c r="D32" s="87" t="s">
        <v>79</v>
      </c>
      <c r="E32" s="87"/>
      <c r="F32" s="5" t="s">
        <v>80</v>
      </c>
      <c r="G32" s="5" t="s">
        <v>81</v>
      </c>
      <c r="H32" s="61" t="s">
        <v>82</v>
      </c>
      <c r="I32" s="4" t="s">
        <v>83</v>
      </c>
      <c r="J32" s="4" t="s">
        <v>84</v>
      </c>
      <c r="K32" s="5" t="s">
        <v>85</v>
      </c>
      <c r="L32" s="5" t="s">
        <v>86</v>
      </c>
      <c r="M32" s="5" t="s">
        <v>88</v>
      </c>
      <c r="N32" s="5" t="s">
        <v>117</v>
      </c>
      <c r="O32" s="5" t="s">
        <v>118</v>
      </c>
      <c r="P32" s="5" t="s">
        <v>119</v>
      </c>
      <c r="Q32" s="6" t="s">
        <v>120</v>
      </c>
      <c r="R32" s="5" t="s">
        <v>121</v>
      </c>
      <c r="S32" s="5" t="s">
        <v>122</v>
      </c>
      <c r="T32" s="8"/>
    </row>
    <row r="33" spans="2:30" x14ac:dyDescent="0.2">
      <c r="B33" s="47" t="s">
        <v>138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5" spans="2:30" x14ac:dyDescent="0.2">
      <c r="B35" s="8" t="s">
        <v>139</v>
      </c>
      <c r="D35" s="9" t="s">
        <v>113</v>
      </c>
      <c r="E35" s="9"/>
      <c r="G35" s="20"/>
      <c r="H35" s="20">
        <v>0.86</v>
      </c>
      <c r="I35" s="20">
        <v>0.86</v>
      </c>
      <c r="J35" s="20">
        <v>0.86</v>
      </c>
      <c r="K35" s="20">
        <v>0.87</v>
      </c>
      <c r="L35" s="20">
        <v>0.87</v>
      </c>
      <c r="M35" s="20">
        <v>0.87</v>
      </c>
      <c r="N35" s="20">
        <v>0.87</v>
      </c>
      <c r="O35" s="20">
        <v>0.88</v>
      </c>
      <c r="P35" s="20">
        <v>0.88</v>
      </c>
      <c r="Q35" s="20">
        <v>0.88</v>
      </c>
      <c r="R35" s="20">
        <v>0.88</v>
      </c>
      <c r="S35" s="20">
        <v>0.88</v>
      </c>
    </row>
    <row r="37" spans="2:30" x14ac:dyDescent="0.2">
      <c r="B37" s="47" t="s">
        <v>132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2:30" x14ac:dyDescent="0.2">
      <c r="D38" s="9"/>
      <c r="E38" s="9"/>
      <c r="G38" s="20"/>
      <c r="H38" s="76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Y38" s="103"/>
      <c r="Z38" s="103"/>
      <c r="AA38" s="103"/>
      <c r="AB38" s="103"/>
      <c r="AC38" s="103"/>
      <c r="AD38" s="103"/>
    </row>
    <row r="39" spans="2:30" x14ac:dyDescent="0.2">
      <c r="B39" s="11" t="s">
        <v>267</v>
      </c>
      <c r="D39" s="9" t="s">
        <v>136</v>
      </c>
      <c r="E39" s="9"/>
      <c r="G39" s="10">
        <v>140304000</v>
      </c>
      <c r="H39" s="10">
        <v>219080000</v>
      </c>
      <c r="I39" s="10">
        <f>'Revenue Build'!E16</f>
        <v>205600000</v>
      </c>
      <c r="J39" s="10">
        <f>'Revenue Build'!F16</f>
        <v>268678080</v>
      </c>
      <c r="K39" s="10">
        <f>'Revenue Build'!G16</f>
        <v>351108514.94400001</v>
      </c>
      <c r="L39" s="10">
        <f>'Revenue Build'!H16</f>
        <v>443660719.48323846</v>
      </c>
      <c r="M39" s="10">
        <f>'Revenue Build'!I16</f>
        <v>560609685.1390202</v>
      </c>
      <c r="N39" s="10">
        <f>'Revenue Build'!J16</f>
        <v>708386398.14166594</v>
      </c>
      <c r="O39" s="10">
        <f>'Revenue Build'!K16</f>
        <v>895117052.69180906</v>
      </c>
      <c r="P39" s="10">
        <f>'Revenue Build'!L16</f>
        <v>1072171205.714249</v>
      </c>
      <c r="Q39" s="10">
        <f>'Revenue Build'!M16</f>
        <v>1284246670.2045276</v>
      </c>
      <c r="R39" s="10">
        <f>'Revenue Build'!N16</f>
        <v>1538270661.5709829</v>
      </c>
      <c r="S39" s="10">
        <f>'Revenue Build'!O16</f>
        <v>1807775681.4782193</v>
      </c>
      <c r="Y39" s="103"/>
      <c r="Z39" s="103"/>
      <c r="AA39" s="103"/>
      <c r="AB39" s="103"/>
      <c r="AC39" s="103"/>
      <c r="AD39" s="103"/>
    </row>
    <row r="40" spans="2:30" x14ac:dyDescent="0.2">
      <c r="B40" s="11" t="s">
        <v>269</v>
      </c>
      <c r="D40" s="9" t="s">
        <v>113</v>
      </c>
      <c r="E40" s="9"/>
      <c r="G40" s="76"/>
      <c r="H40" s="72">
        <f>83/64000</f>
        <v>1.2968750000000001E-3</v>
      </c>
      <c r="I40" s="72">
        <f t="shared" ref="I40:S40" si="7">83/64000</f>
        <v>1.2968750000000001E-3</v>
      </c>
      <c r="J40" s="72">
        <f t="shared" si="7"/>
        <v>1.2968750000000001E-3</v>
      </c>
      <c r="K40" s="72">
        <f t="shared" si="7"/>
        <v>1.2968750000000001E-3</v>
      </c>
      <c r="L40" s="72">
        <f t="shared" si="7"/>
        <v>1.2968750000000001E-3</v>
      </c>
      <c r="M40" s="72">
        <f t="shared" si="7"/>
        <v>1.2968750000000001E-3</v>
      </c>
      <c r="N40" s="72">
        <f t="shared" si="7"/>
        <v>1.2968750000000001E-3</v>
      </c>
      <c r="O40" s="72">
        <f t="shared" si="7"/>
        <v>1.2968750000000001E-3</v>
      </c>
      <c r="P40" s="72">
        <f t="shared" si="7"/>
        <v>1.2968750000000001E-3</v>
      </c>
      <c r="Q40" s="72">
        <f t="shared" si="7"/>
        <v>1.2968750000000001E-3</v>
      </c>
      <c r="R40" s="72">
        <f t="shared" si="7"/>
        <v>1.2968750000000001E-3</v>
      </c>
      <c r="S40" s="72">
        <f t="shared" si="7"/>
        <v>1.2968750000000001E-3</v>
      </c>
      <c r="Y40" s="103"/>
      <c r="Z40" s="103"/>
      <c r="AA40" s="103"/>
      <c r="AB40" s="103"/>
      <c r="AC40" s="103"/>
      <c r="AD40" s="103"/>
    </row>
    <row r="41" spans="2:30" x14ac:dyDescent="0.2">
      <c r="Y41" s="103"/>
      <c r="Z41" s="103"/>
      <c r="AA41" s="103"/>
      <c r="AB41" s="103"/>
      <c r="AC41" s="103"/>
      <c r="AD41" s="103"/>
    </row>
    <row r="42" spans="2:30" x14ac:dyDescent="0.2">
      <c r="B42" s="34" t="s">
        <v>222</v>
      </c>
      <c r="D42" s="9" t="s">
        <v>113</v>
      </c>
      <c r="E42" s="9"/>
      <c r="I42" s="20">
        <v>0.86</v>
      </c>
      <c r="J42" s="20">
        <v>0.86</v>
      </c>
      <c r="K42" s="20">
        <v>0.87</v>
      </c>
      <c r="L42" s="20">
        <v>0.87</v>
      </c>
      <c r="M42" s="20">
        <v>0.87</v>
      </c>
      <c r="N42" s="20">
        <v>0.87</v>
      </c>
      <c r="O42" s="20">
        <v>0.88</v>
      </c>
      <c r="P42" s="20">
        <v>0.88</v>
      </c>
      <c r="Q42" s="20">
        <v>0.88</v>
      </c>
      <c r="R42" s="20">
        <v>0.88</v>
      </c>
      <c r="S42" s="20">
        <v>0.88</v>
      </c>
      <c r="Y42" s="103"/>
      <c r="Z42" s="103"/>
      <c r="AA42" s="103"/>
      <c r="AB42" s="103"/>
      <c r="AC42" s="103"/>
      <c r="AD42" s="103"/>
    </row>
    <row r="43" spans="2:30" x14ac:dyDescent="0.2">
      <c r="B43" s="11" t="s">
        <v>144</v>
      </c>
      <c r="D43" s="9" t="s">
        <v>136</v>
      </c>
      <c r="E43" s="9"/>
      <c r="H43" s="10">
        <v>13000000</v>
      </c>
      <c r="I43" s="10">
        <f>'Revenue Build'!E22</f>
        <v>16270200</v>
      </c>
      <c r="J43" s="10">
        <f>'Revenue Build'!F22</f>
        <v>22103066.699999996</v>
      </c>
      <c r="K43" s="10">
        <f>'Revenue Build'!G22</f>
        <v>27690721.961759999</v>
      </c>
      <c r="L43" s="10">
        <f>'Revenue Build'!H22</f>
        <v>34989996.270879932</v>
      </c>
      <c r="M43" s="10">
        <f>'Revenue Build'!I22</f>
        <v>42323899.489256375</v>
      </c>
      <c r="N43" s="10">
        <f>'Revenue Build'!J22</f>
        <v>50246933.473645166</v>
      </c>
      <c r="O43" s="10">
        <f>'Revenue Build'!K22</f>
        <v>59653159.419911541</v>
      </c>
      <c r="P43" s="10">
        <f>'Revenue Build'!L22</f>
        <v>71452554.353170052</v>
      </c>
      <c r="Q43" s="10">
        <f>'Revenue Build'!M22</f>
        <v>84778455.740036279</v>
      </c>
      <c r="R43" s="10">
        <f>'Revenue Build'!N22</f>
        <v>96138768.809201136</v>
      </c>
      <c r="S43" s="10">
        <f>'Revenue Build'!O22</f>
        <v>109021363.82963409</v>
      </c>
      <c r="Y43" s="103"/>
      <c r="Z43" s="103"/>
      <c r="AA43" s="103"/>
      <c r="AB43" s="103"/>
      <c r="AC43" s="103"/>
      <c r="AD43" s="103"/>
    </row>
    <row r="44" spans="2:30" x14ac:dyDescent="0.2">
      <c r="B44" s="11" t="s">
        <v>145</v>
      </c>
      <c r="D44" s="9" t="s">
        <v>113</v>
      </c>
      <c r="E44" s="9"/>
      <c r="H44" s="76">
        <f>86.6/3300</f>
        <v>2.6242424242424241E-2</v>
      </c>
      <c r="I44" s="76">
        <v>2.6242424242424241E-2</v>
      </c>
      <c r="J44" s="76">
        <v>2.6242424242424241E-2</v>
      </c>
      <c r="K44" s="76">
        <v>2.6242424242424241E-2</v>
      </c>
      <c r="L44" s="76">
        <v>2.6242424242424241E-2</v>
      </c>
      <c r="M44" s="76">
        <v>2.6242424242424241E-2</v>
      </c>
      <c r="N44" s="76">
        <v>2.6242424242424241E-2</v>
      </c>
      <c r="O44" s="76">
        <v>2.6242424242424241E-2</v>
      </c>
      <c r="P44" s="76">
        <v>2.6242424242424241E-2</v>
      </c>
      <c r="Q44" s="76">
        <v>2.6242424242424241E-2</v>
      </c>
      <c r="R44" s="76">
        <v>2.6242424242424241E-2</v>
      </c>
      <c r="S44" s="76">
        <v>2.6242424242424241E-2</v>
      </c>
    </row>
    <row r="45" spans="2:30" x14ac:dyDescent="0.2">
      <c r="B45" s="11"/>
      <c r="D45" s="9"/>
      <c r="E45" s="9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</row>
    <row r="46" spans="2:30" x14ac:dyDescent="0.2">
      <c r="B46" s="47" t="s">
        <v>248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103"/>
    </row>
    <row r="47" spans="2:30" x14ac:dyDescent="0.2">
      <c r="B47" s="11"/>
      <c r="D47" s="9"/>
      <c r="E47" s="9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103"/>
    </row>
    <row r="48" spans="2:30" x14ac:dyDescent="0.2">
      <c r="B48" s="34" t="s">
        <v>256</v>
      </c>
      <c r="D48" s="9" t="s">
        <v>113</v>
      </c>
      <c r="E48" s="9"/>
      <c r="G48" s="72">
        <f>'Income Statement'!F8/'Balance Sheet'!E11</f>
        <v>2.7211833027105882E-3</v>
      </c>
      <c r="H48" s="72">
        <f>'Income Statement'!G8/'Balance Sheet'!F11</f>
        <v>2.7346260810905409E-3</v>
      </c>
      <c r="I48" s="72">
        <v>0.03</v>
      </c>
      <c r="J48" s="72">
        <v>0.03</v>
      </c>
      <c r="K48" s="72">
        <v>0.03</v>
      </c>
      <c r="L48" s="72">
        <v>0.03</v>
      </c>
      <c r="M48" s="72">
        <v>0.03</v>
      </c>
      <c r="N48" s="72">
        <v>0.03</v>
      </c>
      <c r="O48" s="72">
        <v>0.03</v>
      </c>
      <c r="P48" s="72">
        <v>0.03</v>
      </c>
      <c r="Q48" s="72">
        <v>0.03</v>
      </c>
      <c r="R48" s="72">
        <v>0.03</v>
      </c>
      <c r="S48" s="72">
        <v>0.03</v>
      </c>
      <c r="T48" s="103"/>
    </row>
    <row r="49" spans="2:20" x14ac:dyDescent="0.2">
      <c r="T49" s="103"/>
    </row>
    <row r="50" spans="2:20" x14ac:dyDescent="0.2">
      <c r="B50" s="1"/>
      <c r="C50" s="1"/>
      <c r="D50" s="1"/>
      <c r="E50" s="1"/>
      <c r="F50" s="118" t="s">
        <v>76</v>
      </c>
      <c r="G50" s="118"/>
      <c r="H50" s="119"/>
      <c r="I50" s="117" t="s">
        <v>77</v>
      </c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03"/>
    </row>
    <row r="51" spans="2:20" x14ac:dyDescent="0.2">
      <c r="B51" s="51" t="s">
        <v>258</v>
      </c>
      <c r="C51" s="1"/>
      <c r="D51" s="27" t="s">
        <v>79</v>
      </c>
      <c r="E51" s="27"/>
      <c r="F51" s="5" t="s">
        <v>80</v>
      </c>
      <c r="G51" s="5" t="s">
        <v>81</v>
      </c>
      <c r="H51" s="61" t="s">
        <v>82</v>
      </c>
      <c r="I51" s="4" t="s">
        <v>83</v>
      </c>
      <c r="J51" s="4" t="s">
        <v>84</v>
      </c>
      <c r="K51" s="5" t="s">
        <v>85</v>
      </c>
      <c r="L51" s="5" t="s">
        <v>86</v>
      </c>
      <c r="M51" s="5" t="s">
        <v>88</v>
      </c>
      <c r="N51" s="5" t="s">
        <v>117</v>
      </c>
      <c r="O51" s="5" t="s">
        <v>118</v>
      </c>
      <c r="P51" s="5" t="s">
        <v>119</v>
      </c>
      <c r="Q51" s="4" t="s">
        <v>120</v>
      </c>
      <c r="R51" s="5" t="s">
        <v>121</v>
      </c>
      <c r="S51" s="5" t="s">
        <v>122</v>
      </c>
      <c r="T51" s="103"/>
    </row>
    <row r="52" spans="2:20" x14ac:dyDescent="0.2">
      <c r="B52" s="81" t="s">
        <v>157</v>
      </c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103"/>
    </row>
    <row r="53" spans="2:20" x14ac:dyDescent="0.2">
      <c r="T53" s="103"/>
    </row>
    <row r="54" spans="2:20" x14ac:dyDescent="0.2">
      <c r="B54" s="85" t="s">
        <v>175</v>
      </c>
      <c r="D54" s="9" t="s">
        <v>136</v>
      </c>
      <c r="H54" s="10">
        <v>3252</v>
      </c>
      <c r="I54" s="10">
        <f>I55*'Revenue Build'!E36</f>
        <v>5364.4630078375167</v>
      </c>
      <c r="J54" s="10">
        <f>J55*'Revenue Build'!F36</f>
        <v>6988.7316424094097</v>
      </c>
      <c r="K54" s="10">
        <f>K55*'Revenue Build'!G36</f>
        <v>9814.7126808149351</v>
      </c>
      <c r="L54" s="10">
        <f>L55*'Revenue Build'!H36</f>
        <v>12116.412469085113</v>
      </c>
      <c r="M54" s="10">
        <f>M55*'Revenue Build'!I36</f>
        <v>15764.963579726709</v>
      </c>
      <c r="N54" s="10">
        <f>N55*'Revenue Build'!J36</f>
        <v>18995.659615346878</v>
      </c>
      <c r="O54" s="10">
        <f>O55*'Revenue Build'!K36</f>
        <v>22913.218220486826</v>
      </c>
      <c r="P54" s="10">
        <f>P55*'Revenue Build'!L36</f>
        <v>28575.579212017899</v>
      </c>
      <c r="Q54" s="10">
        <f>Q55*'Revenue Build'!M36</f>
        <v>33462.071863633057</v>
      </c>
      <c r="R54" s="10">
        <f>R55*'Revenue Build'!N36</f>
        <v>38608.58782826431</v>
      </c>
      <c r="S54" s="10">
        <f>S55*'Revenue Build'!O36</f>
        <v>44279.049961129087</v>
      </c>
      <c r="T54" s="103"/>
    </row>
    <row r="55" spans="2:20" x14ac:dyDescent="0.2">
      <c r="B55" s="11" t="s">
        <v>102</v>
      </c>
      <c r="D55" s="9" t="s">
        <v>113</v>
      </c>
      <c r="H55" s="72">
        <f>H54/'Income Statement'!G9</f>
        <v>5.0657440739984953E-3</v>
      </c>
      <c r="I55" s="72">
        <f>H55</f>
        <v>5.0657440739984953E-3</v>
      </c>
      <c r="J55" s="72">
        <f t="shared" ref="J55:S55" si="8">I55</f>
        <v>5.0657440739984953E-3</v>
      </c>
      <c r="K55" s="72">
        <f t="shared" si="8"/>
        <v>5.0657440739984953E-3</v>
      </c>
      <c r="L55" s="72">
        <f t="shared" si="8"/>
        <v>5.0657440739984953E-3</v>
      </c>
      <c r="M55" s="72">
        <f t="shared" si="8"/>
        <v>5.0657440739984953E-3</v>
      </c>
      <c r="N55" s="72">
        <f t="shared" si="8"/>
        <v>5.0657440739984953E-3</v>
      </c>
      <c r="O55" s="72">
        <f t="shared" si="8"/>
        <v>5.0657440739984953E-3</v>
      </c>
      <c r="P55" s="72">
        <f t="shared" si="8"/>
        <v>5.0657440739984953E-3</v>
      </c>
      <c r="Q55" s="72">
        <f t="shared" si="8"/>
        <v>5.0657440739984953E-3</v>
      </c>
      <c r="R55" s="72">
        <f t="shared" si="8"/>
        <v>5.0657440739984953E-3</v>
      </c>
      <c r="S55" s="72">
        <f t="shared" si="8"/>
        <v>5.0657440739984953E-3</v>
      </c>
    </row>
    <row r="56" spans="2:20" x14ac:dyDescent="0.2">
      <c r="D56" s="9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</row>
    <row r="57" spans="2:20" x14ac:dyDescent="0.2">
      <c r="B57" s="85" t="s">
        <v>259</v>
      </c>
      <c r="D57" s="9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</row>
    <row r="58" spans="2:20" x14ac:dyDescent="0.2">
      <c r="B58" s="11" t="s">
        <v>260</v>
      </c>
      <c r="D58" s="9" t="s">
        <v>136</v>
      </c>
      <c r="H58" s="104"/>
      <c r="I58" s="104">
        <f>H62</f>
        <v>56985</v>
      </c>
      <c r="J58" s="104">
        <f t="shared" ref="J58:S58" si="9">I62</f>
        <v>61610.536992162481</v>
      </c>
      <c r="K58" s="104">
        <f t="shared" si="9"/>
        <v>68417.866777888063</v>
      </c>
      <c r="L58" s="104">
        <f t="shared" si="9"/>
        <v>77977.825492716656</v>
      </c>
      <c r="M58" s="104">
        <f t="shared" si="9"/>
        <v>89779.74030604669</v>
      </c>
      <c r="N58" s="104">
        <f t="shared" si="9"/>
        <v>105135.50321671905</v>
      </c>
      <c r="O58" s="104">
        <f t="shared" si="9"/>
        <v>123638.10513583856</v>
      </c>
      <c r="P58" s="104">
        <f t="shared" si="9"/>
        <v>145956.58019827149</v>
      </c>
      <c r="Q58" s="104">
        <f t="shared" si="9"/>
        <v>173790.44211592086</v>
      </c>
      <c r="R58" s="104">
        <f t="shared" si="9"/>
        <v>206383.96124707873</v>
      </c>
      <c r="S58" s="104">
        <f t="shared" si="9"/>
        <v>243990.41165265432</v>
      </c>
    </row>
    <row r="59" spans="2:20" x14ac:dyDescent="0.2">
      <c r="B59" s="25" t="s">
        <v>261</v>
      </c>
      <c r="D59" s="9" t="s">
        <v>136</v>
      </c>
      <c r="G59" s="72"/>
      <c r="H59" s="10"/>
      <c r="I59" s="10">
        <f>I60*'Income Statement'!H9</f>
        <v>9990</v>
      </c>
      <c r="J59" s="10">
        <f>J60*'Income Statement'!I9</f>
        <v>13796.061428135001</v>
      </c>
      <c r="K59" s="10">
        <f>K60*'Income Statement'!J9</f>
        <v>19374.671395643527</v>
      </c>
      <c r="L59" s="10">
        <f>L60*'Income Statement'!K9</f>
        <v>23918.327282415157</v>
      </c>
      <c r="M59" s="10">
        <f>M60*'Income Statement'!L9</f>
        <v>31120.726490399073</v>
      </c>
      <c r="N59" s="10">
        <f>N60*'Income Statement'!M9</f>
        <v>37498.261534466379</v>
      </c>
      <c r="O59" s="10">
        <f>O60*'Income Statement'!N9</f>
        <v>45231.693282919754</v>
      </c>
      <c r="P59" s="10">
        <f>P60*'Income Statement'!O9</f>
        <v>56409.441129667277</v>
      </c>
      <c r="Q59" s="10">
        <f>Q60*'Income Statement'!P9</f>
        <v>66055.590994790939</v>
      </c>
      <c r="R59" s="10">
        <f>R60*'Income Statement'!Q9</f>
        <v>76215.038233839878</v>
      </c>
      <c r="S59" s="10">
        <f>S60*'Income Statement'!R9</f>
        <v>87408.77808732001</v>
      </c>
    </row>
    <row r="60" spans="2:20" x14ac:dyDescent="0.2">
      <c r="B60" s="36" t="s">
        <v>262</v>
      </c>
      <c r="D60" s="9" t="s">
        <v>113</v>
      </c>
      <c r="H60" s="72"/>
      <c r="I60" s="72">
        <v>0.01</v>
      </c>
      <c r="J60" s="72">
        <v>0.01</v>
      </c>
      <c r="K60" s="72">
        <v>0.01</v>
      </c>
      <c r="L60" s="72">
        <v>0.01</v>
      </c>
      <c r="M60" s="72">
        <v>0.01</v>
      </c>
      <c r="N60" s="72">
        <v>0.01</v>
      </c>
      <c r="O60" s="72">
        <v>0.01</v>
      </c>
      <c r="P60" s="72">
        <v>0.01</v>
      </c>
      <c r="Q60" s="72">
        <v>0.01</v>
      </c>
      <c r="R60" s="72">
        <v>0.01</v>
      </c>
      <c r="S60" s="72">
        <v>0.01</v>
      </c>
    </row>
    <row r="61" spans="2:20" x14ac:dyDescent="0.2">
      <c r="B61" s="105" t="s">
        <v>263</v>
      </c>
      <c r="C61" s="78"/>
      <c r="D61" s="79" t="s">
        <v>136</v>
      </c>
      <c r="E61" s="78"/>
      <c r="F61" s="78"/>
      <c r="G61" s="78"/>
      <c r="H61" s="106"/>
      <c r="I61" s="106">
        <f t="shared" ref="I61:S61" si="10">I54</f>
        <v>5364.4630078375167</v>
      </c>
      <c r="J61" s="106">
        <f t="shared" si="10"/>
        <v>6988.7316424094097</v>
      </c>
      <c r="K61" s="106">
        <f t="shared" si="10"/>
        <v>9814.7126808149351</v>
      </c>
      <c r="L61" s="106">
        <f t="shared" si="10"/>
        <v>12116.412469085113</v>
      </c>
      <c r="M61" s="106">
        <f t="shared" si="10"/>
        <v>15764.963579726709</v>
      </c>
      <c r="N61" s="106">
        <f t="shared" si="10"/>
        <v>18995.659615346878</v>
      </c>
      <c r="O61" s="106">
        <f t="shared" si="10"/>
        <v>22913.218220486826</v>
      </c>
      <c r="P61" s="106">
        <f t="shared" si="10"/>
        <v>28575.579212017899</v>
      </c>
      <c r="Q61" s="106">
        <f t="shared" si="10"/>
        <v>33462.071863633057</v>
      </c>
      <c r="R61" s="106">
        <f t="shared" si="10"/>
        <v>38608.58782826431</v>
      </c>
      <c r="S61" s="106">
        <f t="shared" si="10"/>
        <v>44279.049961129087</v>
      </c>
    </row>
    <row r="62" spans="2:20" x14ac:dyDescent="0.2">
      <c r="B62" s="11" t="s">
        <v>264</v>
      </c>
      <c r="D62" s="9"/>
      <c r="H62" s="104">
        <f>'Balance Sheet'!F16</f>
        <v>56985</v>
      </c>
      <c r="I62" s="104">
        <f t="shared" ref="I62:S62" si="11">I58+I59-I61</f>
        <v>61610.536992162481</v>
      </c>
      <c r="J62" s="104">
        <f t="shared" si="11"/>
        <v>68417.866777888063</v>
      </c>
      <c r="K62" s="104">
        <f t="shared" si="11"/>
        <v>77977.825492716656</v>
      </c>
      <c r="L62" s="104">
        <f t="shared" si="11"/>
        <v>89779.74030604669</v>
      </c>
      <c r="M62" s="104">
        <f t="shared" si="11"/>
        <v>105135.50321671905</v>
      </c>
      <c r="N62" s="104">
        <f t="shared" si="11"/>
        <v>123638.10513583856</v>
      </c>
      <c r="O62" s="104">
        <f t="shared" si="11"/>
        <v>145956.58019827149</v>
      </c>
      <c r="P62" s="104">
        <f t="shared" si="11"/>
        <v>173790.44211592086</v>
      </c>
      <c r="Q62" s="104">
        <f t="shared" si="11"/>
        <v>206383.96124707873</v>
      </c>
      <c r="R62" s="104">
        <f t="shared" si="11"/>
        <v>243990.41165265432</v>
      </c>
      <c r="S62" s="104">
        <f t="shared" si="11"/>
        <v>287120.13977884525</v>
      </c>
    </row>
    <row r="63" spans="2:20" x14ac:dyDescent="0.2">
      <c r="H63" s="10"/>
    </row>
    <row r="64" spans="2:20" x14ac:dyDescent="0.2">
      <c r="B64" s="57" t="s">
        <v>158</v>
      </c>
    </row>
    <row r="65" spans="2:21" ht="16" customHeight="1" x14ac:dyDescent="0.2">
      <c r="B65" s="11" t="s">
        <v>159</v>
      </c>
      <c r="D65" s="9" t="s">
        <v>136</v>
      </c>
      <c r="I65" s="104">
        <f>232713/9</f>
        <v>25857</v>
      </c>
      <c r="J65" s="104">
        <f t="shared" ref="J65:N65" si="12">232713/9</f>
        <v>25857</v>
      </c>
      <c r="K65" s="104">
        <f t="shared" si="12"/>
        <v>25857</v>
      </c>
      <c r="L65" s="104">
        <f t="shared" si="12"/>
        <v>25857</v>
      </c>
      <c r="M65" s="104">
        <f t="shared" si="12"/>
        <v>25857</v>
      </c>
      <c r="N65" s="104">
        <f t="shared" si="12"/>
        <v>25857</v>
      </c>
      <c r="O65" s="104">
        <v>0</v>
      </c>
      <c r="P65" s="104">
        <v>0</v>
      </c>
      <c r="Q65" s="104">
        <v>0</v>
      </c>
      <c r="R65" s="104">
        <v>0</v>
      </c>
      <c r="S65" s="104">
        <v>0</v>
      </c>
      <c r="T65" s="10"/>
    </row>
    <row r="66" spans="2:21" x14ac:dyDescent="0.2">
      <c r="B66" s="11" t="s">
        <v>160</v>
      </c>
      <c r="D66" s="9" t="s">
        <v>136</v>
      </c>
      <c r="I66" s="104">
        <f>167999/4.7</f>
        <v>35744.468085106382</v>
      </c>
      <c r="J66" s="104">
        <f t="shared" ref="J66" si="13">167999/4.7</f>
        <v>35744.468085106382</v>
      </c>
      <c r="K66" s="104">
        <f>K69-K65</f>
        <v>33568</v>
      </c>
      <c r="L66" s="104">
        <f>L69-L65</f>
        <v>31906</v>
      </c>
      <c r="M66" s="104">
        <f>M69-M65</f>
        <v>29237</v>
      </c>
      <c r="N66" s="104">
        <v>20000</v>
      </c>
      <c r="O66" s="104">
        <v>15000</v>
      </c>
      <c r="P66" s="104">
        <v>10000</v>
      </c>
      <c r="Q66" s="104">
        <v>5000</v>
      </c>
      <c r="R66" s="104">
        <v>5000</v>
      </c>
      <c r="S66" s="104">
        <v>5000</v>
      </c>
    </row>
    <row r="67" spans="2:21" x14ac:dyDescent="0.2">
      <c r="B67" s="11" t="s">
        <v>161</v>
      </c>
      <c r="D67" s="9" t="s">
        <v>136</v>
      </c>
      <c r="I67" s="104">
        <f>31871/2</f>
        <v>15935.5</v>
      </c>
      <c r="J67" s="104">
        <f>31871/2</f>
        <v>15935.5</v>
      </c>
      <c r="K67" s="35">
        <v>0</v>
      </c>
      <c r="L67" s="35">
        <v>0</v>
      </c>
      <c r="M67" s="35">
        <v>0</v>
      </c>
      <c r="N67" s="104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</row>
    <row r="68" spans="2:21" x14ac:dyDescent="0.2">
      <c r="B68" s="77" t="s">
        <v>11</v>
      </c>
      <c r="C68" s="78"/>
      <c r="D68" s="9" t="s">
        <v>136</v>
      </c>
      <c r="E68" s="78"/>
      <c r="F68" s="78"/>
      <c r="G68" s="78"/>
      <c r="H68" s="78"/>
      <c r="I68" s="106">
        <f>I69-I65-I66-I67</f>
        <v>1538.0319148936178</v>
      </c>
      <c r="J68" s="106">
        <f>J69-J65-J66-J67</f>
        <v>610.0319148936178</v>
      </c>
      <c r="K68" s="106">
        <f>K69-K65-K66-K67</f>
        <v>0</v>
      </c>
      <c r="L68" s="106">
        <f>L69-L65-L66-L67</f>
        <v>0</v>
      </c>
      <c r="M68" s="106">
        <f>M69-M65-M66-M67</f>
        <v>0</v>
      </c>
      <c r="N68" s="108">
        <v>0</v>
      </c>
      <c r="O68" s="108">
        <v>0</v>
      </c>
      <c r="P68" s="108">
        <v>0</v>
      </c>
      <c r="Q68" s="108">
        <v>0</v>
      </c>
      <c r="R68" s="108">
        <v>0</v>
      </c>
      <c r="S68" s="108">
        <v>0</v>
      </c>
    </row>
    <row r="69" spans="2:21" x14ac:dyDescent="0.2">
      <c r="B69" s="25" t="s">
        <v>162</v>
      </c>
      <c r="D69" s="14" t="s">
        <v>136</v>
      </c>
      <c r="I69" s="10">
        <v>79075</v>
      </c>
      <c r="J69" s="10">
        <v>78147</v>
      </c>
      <c r="K69" s="10">
        <v>59425</v>
      </c>
      <c r="L69" s="10">
        <v>57763</v>
      </c>
      <c r="M69" s="10">
        <v>55094</v>
      </c>
      <c r="N69" s="10">
        <f>SUM(N65:N68)</f>
        <v>45857</v>
      </c>
      <c r="O69" s="10">
        <f t="shared" ref="O69:Q69" si="14">SUM(O65:O68)</f>
        <v>15000</v>
      </c>
      <c r="P69" s="10">
        <f t="shared" si="14"/>
        <v>10000</v>
      </c>
      <c r="Q69" s="10">
        <f t="shared" si="14"/>
        <v>5000</v>
      </c>
      <c r="R69" s="10">
        <f t="shared" ref="R69" si="15">SUM(R65:R68)</f>
        <v>5000</v>
      </c>
      <c r="S69" s="10">
        <f t="shared" ref="S69" si="16">SUM(S65:S68)</f>
        <v>5000</v>
      </c>
      <c r="U69" s="10"/>
    </row>
    <row r="70" spans="2:21" x14ac:dyDescent="0.2">
      <c r="B70" s="25"/>
    </row>
    <row r="71" spans="2:21" x14ac:dyDescent="0.2">
      <c r="B71" s="1"/>
      <c r="C71" s="1"/>
      <c r="D71" s="1"/>
      <c r="E71" s="1"/>
      <c r="F71" s="118" t="s">
        <v>76</v>
      </c>
      <c r="G71" s="118"/>
      <c r="H71" s="119"/>
      <c r="I71" s="117" t="s">
        <v>77</v>
      </c>
      <c r="J71" s="118"/>
      <c r="K71" s="118"/>
      <c r="L71" s="118"/>
      <c r="M71" s="118"/>
      <c r="N71" s="118"/>
      <c r="O71" s="118"/>
      <c r="P71" s="118"/>
      <c r="Q71" s="118"/>
      <c r="R71" s="118"/>
      <c r="S71" s="118"/>
    </row>
    <row r="72" spans="2:21" x14ac:dyDescent="0.2">
      <c r="B72" s="51" t="s">
        <v>236</v>
      </c>
      <c r="C72" s="1"/>
      <c r="D72" s="27" t="s">
        <v>79</v>
      </c>
      <c r="E72" s="27"/>
      <c r="F72" s="5" t="s">
        <v>80</v>
      </c>
      <c r="G72" s="5" t="s">
        <v>81</v>
      </c>
      <c r="H72" s="61" t="s">
        <v>82</v>
      </c>
      <c r="I72" s="5" t="s">
        <v>83</v>
      </c>
      <c r="J72" s="5" t="s">
        <v>84</v>
      </c>
      <c r="K72" s="4" t="s">
        <v>85</v>
      </c>
      <c r="L72" s="4" t="s">
        <v>86</v>
      </c>
      <c r="M72" s="5" t="s">
        <v>88</v>
      </c>
      <c r="N72" s="5" t="s">
        <v>117</v>
      </c>
      <c r="O72" s="5" t="s">
        <v>118</v>
      </c>
      <c r="P72" s="5" t="s">
        <v>119</v>
      </c>
      <c r="Q72" s="5" t="s">
        <v>120</v>
      </c>
      <c r="R72" s="5" t="s">
        <v>121</v>
      </c>
      <c r="S72" s="5" t="s">
        <v>122</v>
      </c>
    </row>
    <row r="73" spans="2:21" x14ac:dyDescent="0.2">
      <c r="B73" s="81" t="s">
        <v>163</v>
      </c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</row>
    <row r="75" spans="2:21" x14ac:dyDescent="0.2">
      <c r="B75" s="8" t="s">
        <v>266</v>
      </c>
      <c r="D75" s="9" t="s">
        <v>133</v>
      </c>
      <c r="H75" s="10">
        <f>378600-121000</f>
        <v>257600</v>
      </c>
      <c r="I75" s="10">
        <f>378600*F95+20700*F121</f>
        <v>140790</v>
      </c>
      <c r="J75" s="10">
        <f>F94*G95+F120*G121</f>
        <v>154088.875</v>
      </c>
      <c r="K75" s="10">
        <f t="shared" ref="K75:S75" si="17">G94*H95+G120*H121</f>
        <v>184190.04849999998</v>
      </c>
      <c r="L75" s="10">
        <f t="shared" si="17"/>
        <v>192265.72025999997</v>
      </c>
      <c r="M75" s="10">
        <f t="shared" si="17"/>
        <v>222678.29557349996</v>
      </c>
      <c r="N75" s="10">
        <f t="shared" si="17"/>
        <v>259965.45653831997</v>
      </c>
      <c r="O75" s="10">
        <f t="shared" si="17"/>
        <v>303523.25695323839</v>
      </c>
      <c r="P75" s="10">
        <f t="shared" si="17"/>
        <v>298001.96626395121</v>
      </c>
      <c r="Q75" s="10">
        <f t="shared" si="17"/>
        <v>336742.22187826491</v>
      </c>
      <c r="R75" s="10">
        <f t="shared" si="17"/>
        <v>376441.77927469916</v>
      </c>
      <c r="S75" s="10">
        <f t="shared" si="17"/>
        <v>424563.82429086196</v>
      </c>
    </row>
    <row r="76" spans="2:21" x14ac:dyDescent="0.2">
      <c r="B76" s="8" t="s">
        <v>251</v>
      </c>
      <c r="D76" s="9" t="s">
        <v>133</v>
      </c>
      <c r="H76" s="10">
        <f>121000*(1-H35)</f>
        <v>16940</v>
      </c>
      <c r="I76" s="10">
        <f>378600*(1-I35)+20700*(1-I42)</f>
        <v>55902.000000000007</v>
      </c>
      <c r="J76" s="10">
        <f>F94*(1-J35)+F120*(1-J42)</f>
        <v>61364.380000000005</v>
      </c>
      <c r="K76" s="10">
        <f t="shared" ref="K76:S76" si="18">G94*(1-K35)+G120*(1-K42)</f>
        <v>69035.394350000002</v>
      </c>
      <c r="L76" s="10">
        <f t="shared" si="18"/>
        <v>83315.14544599998</v>
      </c>
      <c r="M76" s="10">
        <f t="shared" si="18"/>
        <v>97478.720171819994</v>
      </c>
      <c r="N76" s="10">
        <f t="shared" si="18"/>
        <v>113754.6649740384</v>
      </c>
      <c r="O76" s="10">
        <f t="shared" si="18"/>
        <v>122549.60111759539</v>
      </c>
      <c r="P76" s="10">
        <f t="shared" si="18"/>
        <v>143040.9438066966</v>
      </c>
      <c r="Q76" s="10">
        <f t="shared" si="18"/>
        <v>161636.26650156715</v>
      </c>
      <c r="R76" s="10">
        <f t="shared" si="18"/>
        <v>182648.98114677091</v>
      </c>
      <c r="S76" s="10">
        <f t="shared" si="18"/>
        <v>205904.11692212225</v>
      </c>
    </row>
    <row r="77" spans="2:21" x14ac:dyDescent="0.2">
      <c r="B77" s="8" t="s">
        <v>165</v>
      </c>
      <c r="D77" s="9" t="s">
        <v>136</v>
      </c>
      <c r="H77" s="10">
        <f>'Income Statement'!G21</f>
        <v>307151</v>
      </c>
      <c r="I77" s="10">
        <f t="shared" ref="I77:S77" si="19">(I75+I76)*I78</f>
        <v>220055.89164420488</v>
      </c>
      <c r="J77" s="10">
        <f t="shared" si="19"/>
        <v>241045.68633534279</v>
      </c>
      <c r="K77" s="10">
        <f t="shared" si="19"/>
        <v>283304.61133831268</v>
      </c>
      <c r="L77" s="10">
        <f t="shared" si="19"/>
        <v>308315.50405210024</v>
      </c>
      <c r="M77" s="10">
        <f t="shared" si="19"/>
        <v>358186.59409627295</v>
      </c>
      <c r="N77" s="10">
        <f t="shared" si="19"/>
        <v>418112.14774765936</v>
      </c>
      <c r="O77" s="10">
        <f t="shared" si="19"/>
        <v>476683.55951524252</v>
      </c>
      <c r="P77" s="10">
        <f t="shared" si="19"/>
        <v>493431.81638781074</v>
      </c>
      <c r="Q77" s="10">
        <f t="shared" si="19"/>
        <v>557577.95251822623</v>
      </c>
      <c r="R77" s="10">
        <f t="shared" si="19"/>
        <v>625501.88006926118</v>
      </c>
      <c r="S77" s="10">
        <f t="shared" si="19"/>
        <v>705357.53846983809</v>
      </c>
    </row>
    <row r="78" spans="2:21" x14ac:dyDescent="0.2">
      <c r="B78" s="8" t="s">
        <v>164</v>
      </c>
      <c r="D78" s="9" t="s">
        <v>136</v>
      </c>
      <c r="H78" s="84">
        <f>H77/(H75+H76)</f>
        <v>1.1187841480294312</v>
      </c>
      <c r="I78" s="84">
        <v>1.1187841480294312</v>
      </c>
      <c r="J78" s="84">
        <v>1.1187841480294312</v>
      </c>
      <c r="K78" s="84">
        <v>1.1187841480294312</v>
      </c>
      <c r="L78" s="84">
        <v>1.1187841480294312</v>
      </c>
      <c r="M78" s="84">
        <v>1.1187841480294312</v>
      </c>
      <c r="N78" s="84">
        <v>1.1187841480294312</v>
      </c>
      <c r="O78" s="84">
        <v>1.1187841480294312</v>
      </c>
      <c r="P78" s="84">
        <v>1.1187841480294312</v>
      </c>
      <c r="Q78" s="84">
        <v>1.1187841480294312</v>
      </c>
      <c r="R78" s="84">
        <v>1.1187841480294312</v>
      </c>
      <c r="S78" s="84">
        <v>1.1187841480294312</v>
      </c>
    </row>
    <row r="80" spans="2:21" x14ac:dyDescent="0.2">
      <c r="B80" s="1"/>
      <c r="C80" s="1"/>
      <c r="D80" s="1"/>
      <c r="E80" s="1"/>
      <c r="F80" s="118" t="s">
        <v>76</v>
      </c>
      <c r="G80" s="118"/>
      <c r="H80" s="119"/>
      <c r="I80" s="117" t="s">
        <v>77</v>
      </c>
      <c r="J80" s="118"/>
      <c r="K80" s="118"/>
      <c r="L80" s="118"/>
      <c r="M80" s="118"/>
      <c r="N80" s="118"/>
      <c r="O80" s="118"/>
      <c r="P80" s="118"/>
      <c r="Q80" s="118"/>
      <c r="R80" s="118"/>
      <c r="S80" s="118"/>
    </row>
    <row r="81" spans="2:19" x14ac:dyDescent="0.2">
      <c r="B81" s="51" t="s">
        <v>237</v>
      </c>
      <c r="C81" s="1"/>
      <c r="D81" s="27" t="s">
        <v>79</v>
      </c>
      <c r="E81" s="27"/>
      <c r="F81" s="5" t="s">
        <v>80</v>
      </c>
      <c r="G81" s="5" t="s">
        <v>81</v>
      </c>
      <c r="H81" s="61" t="s">
        <v>82</v>
      </c>
      <c r="I81" s="5" t="s">
        <v>83</v>
      </c>
      <c r="J81" s="5" t="s">
        <v>84</v>
      </c>
      <c r="K81" s="4" t="s">
        <v>85</v>
      </c>
      <c r="L81" s="4" t="s">
        <v>86</v>
      </c>
      <c r="M81" s="5" t="s">
        <v>88</v>
      </c>
      <c r="N81" s="5" t="s">
        <v>117</v>
      </c>
      <c r="O81" s="5" t="s">
        <v>118</v>
      </c>
      <c r="P81" s="5" t="s">
        <v>119</v>
      </c>
      <c r="Q81" s="5" t="s">
        <v>120</v>
      </c>
      <c r="R81" s="5" t="s">
        <v>121</v>
      </c>
      <c r="S81" s="5" t="s">
        <v>122</v>
      </c>
    </row>
    <row r="82" spans="2:19" x14ac:dyDescent="0.2">
      <c r="B82" s="81" t="s">
        <v>170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</row>
    <row r="84" spans="2:19" x14ac:dyDescent="0.2">
      <c r="B84" s="8" t="s">
        <v>169</v>
      </c>
      <c r="D84" s="9" t="s">
        <v>113</v>
      </c>
      <c r="G84" s="72">
        <v>1.048387786520698E-3</v>
      </c>
      <c r="H84" s="72">
        <v>1.104756980351603E-3</v>
      </c>
      <c r="I84" s="72">
        <v>1.1050000000000001E-3</v>
      </c>
      <c r="J84" s="72">
        <v>1.1050000000000001E-3</v>
      </c>
      <c r="K84" s="72">
        <v>1.1050000000000001E-3</v>
      </c>
      <c r="L84" s="72">
        <v>1.1050000000000001E-3</v>
      </c>
      <c r="M84" s="72">
        <v>1.1050000000000001E-3</v>
      </c>
      <c r="N84" s="72">
        <v>1.1050000000000001E-3</v>
      </c>
      <c r="O84" s="72">
        <v>1.1050000000000001E-3</v>
      </c>
      <c r="P84" s="72">
        <v>1.1050000000000001E-3</v>
      </c>
      <c r="Q84" s="72">
        <v>1.1050000000000001E-3</v>
      </c>
      <c r="R84" s="72">
        <v>1.1050000000000001E-3</v>
      </c>
      <c r="S84" s="72">
        <v>1.1050000000000001E-3</v>
      </c>
    </row>
    <row r="85" spans="2:19" x14ac:dyDescent="0.2">
      <c r="B85" s="8" t="s">
        <v>171</v>
      </c>
      <c r="D85" s="9" t="s">
        <v>136</v>
      </c>
      <c r="I85" s="104">
        <f>('Revenue Build'!E16+'Revenue Build'!E22)*I84</f>
        <v>245166.57100000003</v>
      </c>
      <c r="J85" s="104">
        <f>('Revenue Build'!F16+'Revenue Build'!F22)*J84</f>
        <v>321313.16710349999</v>
      </c>
      <c r="K85" s="104">
        <f>('Revenue Build'!G16+'Revenue Build'!G22)*K84</f>
        <v>418573.15678086481</v>
      </c>
      <c r="L85" s="104">
        <f>('Revenue Build'!H16+'Revenue Build'!H22)*L84</f>
        <v>528909.0409083009</v>
      </c>
      <c r="M85" s="104">
        <f>('Revenue Build'!I16+'Revenue Build'!I22)*M84</f>
        <v>666241.61101424566</v>
      </c>
      <c r="N85" s="104">
        <f>('Revenue Build'!J16+'Revenue Build'!J22)*N84</f>
        <v>838289.83143491892</v>
      </c>
      <c r="O85" s="104">
        <f>('Revenue Build'!K16+'Revenue Build'!K22)*O84</f>
        <v>1055021.0843834514</v>
      </c>
      <c r="P85" s="104">
        <f>('Revenue Build'!L16+'Revenue Build'!L22)*P84</f>
        <v>1263704.2548744981</v>
      </c>
      <c r="Q85" s="104">
        <f>('Revenue Build'!M16+'Revenue Build'!M22)*Q84</f>
        <v>1512772.7641687433</v>
      </c>
      <c r="R85" s="104">
        <f>('Revenue Build'!N16+'Revenue Build'!N22)*R84</f>
        <v>1806022.4205701037</v>
      </c>
      <c r="S85" s="104">
        <f>('Revenue Build'!O16+'Revenue Build'!O22)*S84</f>
        <v>2118060.735065178</v>
      </c>
    </row>
    <row r="86" spans="2:19" x14ac:dyDescent="0.2">
      <c r="B86" s="8" t="s">
        <v>172</v>
      </c>
      <c r="D86" s="9" t="s">
        <v>113</v>
      </c>
      <c r="G86" s="76">
        <f>'Cash Flow Statement'!E14/'Balance Sheet'!E9</f>
        <v>5.0376292549611469E-3</v>
      </c>
      <c r="H86" s="76">
        <f>'Cash Flow Statement'!F14/'Balance Sheet'!F9</f>
        <v>7.753362039377204E-2</v>
      </c>
      <c r="I86" s="20">
        <f>AVERAGE($G$86:$H$86)</f>
        <v>4.1285624824366596E-2</v>
      </c>
      <c r="J86" s="20">
        <f t="shared" ref="J86:S86" si="20">AVERAGE($G$86:$H$86)</f>
        <v>4.1285624824366596E-2</v>
      </c>
      <c r="K86" s="20">
        <f t="shared" si="20"/>
        <v>4.1285624824366596E-2</v>
      </c>
      <c r="L86" s="20">
        <f t="shared" si="20"/>
        <v>4.1285624824366596E-2</v>
      </c>
      <c r="M86" s="20">
        <f t="shared" si="20"/>
        <v>4.1285624824366596E-2</v>
      </c>
      <c r="N86" s="20">
        <f t="shared" si="20"/>
        <v>4.1285624824366596E-2</v>
      </c>
      <c r="O86" s="20">
        <f t="shared" si="20"/>
        <v>4.1285624824366596E-2</v>
      </c>
      <c r="P86" s="20">
        <f t="shared" si="20"/>
        <v>4.1285624824366596E-2</v>
      </c>
      <c r="Q86" s="20">
        <f t="shared" si="20"/>
        <v>4.1285624824366596E-2</v>
      </c>
      <c r="R86" s="20">
        <f t="shared" si="20"/>
        <v>4.1285624824366596E-2</v>
      </c>
      <c r="S86" s="20">
        <f t="shared" si="20"/>
        <v>4.1285624824366596E-2</v>
      </c>
    </row>
    <row r="87" spans="2:19" x14ac:dyDescent="0.2">
      <c r="B87" s="8" t="s">
        <v>173</v>
      </c>
      <c r="D87" s="9" t="s">
        <v>136</v>
      </c>
      <c r="I87" s="10">
        <f>I85*I86</f>
        <v>10121.855069782436</v>
      </c>
      <c r="J87" s="10">
        <f t="shared" ref="J87:S87" si="21">J85*J86</f>
        <v>13265.614868164112</v>
      </c>
      <c r="K87" s="10">
        <f t="shared" si="21"/>
        <v>17281.054312405562</v>
      </c>
      <c r="L87" s="10">
        <f t="shared" si="21"/>
        <v>21836.340229155674</v>
      </c>
      <c r="M87" s="10">
        <f t="shared" si="21"/>
        <v>27506.201194715733</v>
      </c>
      <c r="N87" s="10">
        <f t="shared" si="21"/>
        <v>34609.319474703574</v>
      </c>
      <c r="O87" s="10">
        <f t="shared" si="21"/>
        <v>43557.204671651583</v>
      </c>
      <c r="P87" s="10">
        <f t="shared" si="21"/>
        <v>52172.819755704273</v>
      </c>
      <c r="Q87" s="10">
        <f t="shared" si="21"/>
        <v>62455.768785990738</v>
      </c>
      <c r="R87" s="10">
        <f t="shared" si="21"/>
        <v>74562.764080051726</v>
      </c>
      <c r="S87" s="10">
        <f t="shared" si="21"/>
        <v>87445.460863123066</v>
      </c>
    </row>
    <row r="88" spans="2:19" x14ac:dyDescent="0.2">
      <c r="B88" s="8" t="s">
        <v>174</v>
      </c>
      <c r="D88" s="9" t="s">
        <v>136</v>
      </c>
      <c r="I88" s="10">
        <f>I85-I87</f>
        <v>235044.71593021759</v>
      </c>
      <c r="J88" s="10">
        <f t="shared" ref="J88:S88" si="22">J85-J87</f>
        <v>308047.55223533587</v>
      </c>
      <c r="K88" s="10">
        <f t="shared" si="22"/>
        <v>401292.10246845923</v>
      </c>
      <c r="L88" s="10">
        <f t="shared" si="22"/>
        <v>507072.70067914523</v>
      </c>
      <c r="M88" s="10">
        <f t="shared" si="22"/>
        <v>638735.40981952997</v>
      </c>
      <c r="N88" s="10">
        <f t="shared" si="22"/>
        <v>803680.5119602154</v>
      </c>
      <c r="O88" s="10">
        <f t="shared" si="22"/>
        <v>1011463.8797117998</v>
      </c>
      <c r="P88" s="10">
        <f t="shared" si="22"/>
        <v>1211531.4351187937</v>
      </c>
      <c r="Q88" s="10">
        <f t="shared" si="22"/>
        <v>1450316.9953827525</v>
      </c>
      <c r="R88" s="10">
        <f t="shared" si="22"/>
        <v>1731459.6564900519</v>
      </c>
      <c r="S88" s="10">
        <f t="shared" si="22"/>
        <v>2030615.2742020548</v>
      </c>
    </row>
    <row r="90" spans="2:19" x14ac:dyDescent="0.2">
      <c r="B90" s="1"/>
      <c r="C90" s="1"/>
      <c r="D90" s="1"/>
      <c r="E90" s="1"/>
      <c r="F90" s="117" t="s">
        <v>77</v>
      </c>
      <c r="G90" s="118"/>
      <c r="H90" s="118"/>
      <c r="I90" s="118"/>
      <c r="J90" s="118"/>
      <c r="K90" s="118"/>
      <c r="L90" s="118"/>
      <c r="M90" s="118"/>
      <c r="N90" s="118"/>
      <c r="O90" s="118"/>
      <c r="P90" s="118"/>
    </row>
    <row r="91" spans="2:19" x14ac:dyDescent="0.2">
      <c r="B91" s="2" t="s">
        <v>242</v>
      </c>
      <c r="C91" s="1"/>
      <c r="D91" s="87" t="s">
        <v>79</v>
      </c>
      <c r="E91" s="87"/>
      <c r="F91" s="86" t="s">
        <v>83</v>
      </c>
      <c r="G91" s="4" t="s">
        <v>84</v>
      </c>
      <c r="H91" s="5" t="s">
        <v>85</v>
      </c>
      <c r="I91" s="5" t="s">
        <v>86</v>
      </c>
      <c r="J91" s="5" t="s">
        <v>88</v>
      </c>
      <c r="K91" s="5" t="s">
        <v>117</v>
      </c>
      <c r="L91" s="5" t="s">
        <v>118</v>
      </c>
      <c r="M91" s="5" t="s">
        <v>119</v>
      </c>
      <c r="N91" s="6" t="s">
        <v>120</v>
      </c>
      <c r="O91" s="5" t="s">
        <v>121</v>
      </c>
      <c r="P91" s="5" t="s">
        <v>122</v>
      </c>
    </row>
    <row r="92" spans="2:19" x14ac:dyDescent="0.2">
      <c r="B92" s="47" t="s">
        <v>138</v>
      </c>
      <c r="C92" s="7"/>
      <c r="D92" s="88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4" spans="2:19" x14ac:dyDescent="0.2">
      <c r="B94" s="57" t="s">
        <v>141</v>
      </c>
      <c r="D94" s="89" t="s">
        <v>133</v>
      </c>
      <c r="F94" s="101">
        <v>411200</v>
      </c>
      <c r="G94" s="101">
        <f t="shared" ref="G94:P94" si="23">F94*(G95)+F94*I35</f>
        <v>497552</v>
      </c>
      <c r="H94" s="101">
        <f t="shared" si="23"/>
        <v>602037.91999999993</v>
      </c>
      <c r="I94" s="101">
        <f t="shared" si="23"/>
        <v>704384.36639999994</v>
      </c>
      <c r="J94" s="101">
        <f t="shared" si="23"/>
        <v>824129.70868799998</v>
      </c>
      <c r="K94" s="101">
        <f t="shared" si="23"/>
        <v>964231.75916496001</v>
      </c>
      <c r="L94" s="101">
        <f t="shared" si="23"/>
        <v>1128151.1582230031</v>
      </c>
      <c r="M94" s="101">
        <f t="shared" si="23"/>
        <v>1274810.8087919937</v>
      </c>
      <c r="N94" s="101">
        <f t="shared" si="23"/>
        <v>1440536.2139349529</v>
      </c>
      <c r="O94" s="101">
        <f t="shared" si="23"/>
        <v>1627805.9217464966</v>
      </c>
      <c r="P94" s="101">
        <f t="shared" si="23"/>
        <v>1839420.6915735411</v>
      </c>
    </row>
    <row r="95" spans="2:19" x14ac:dyDescent="0.2">
      <c r="B95" s="57" t="s">
        <v>140</v>
      </c>
      <c r="C95" s="57"/>
      <c r="D95" s="89" t="s">
        <v>113</v>
      </c>
      <c r="E95" s="57"/>
      <c r="F95" s="90">
        <f>CHOOSE(DCF!$I$61,Assumptions!F96,Assumptions!F97,Assumptions!F98)</f>
        <v>0.35</v>
      </c>
      <c r="G95" s="90">
        <f>CHOOSE(DCF!$I$61,Assumptions!G96,Assumptions!G97,Assumptions!G98)</f>
        <v>0.35</v>
      </c>
      <c r="H95" s="90">
        <f>CHOOSE(DCF!$I$61,Assumptions!H96,Assumptions!H97,Assumptions!H98)</f>
        <v>0.35</v>
      </c>
      <c r="I95" s="90">
        <f>CHOOSE(DCF!$I$61,Assumptions!I96,Assumptions!I97,Assumptions!I98)</f>
        <v>0.3</v>
      </c>
      <c r="J95" s="90">
        <f>CHOOSE(DCF!$I$61,Assumptions!J96,Assumptions!J97,Assumptions!J98)</f>
        <v>0.3</v>
      </c>
      <c r="K95" s="90">
        <f>CHOOSE(DCF!$I$61,Assumptions!K96,Assumptions!K97,Assumptions!K98)</f>
        <v>0.3</v>
      </c>
      <c r="L95" s="90">
        <f>CHOOSE(DCF!$I$61,Assumptions!L96,Assumptions!L97,Assumptions!L98)</f>
        <v>0.3</v>
      </c>
      <c r="M95" s="90">
        <f>CHOOSE(DCF!$I$61,Assumptions!M96,Assumptions!M97,Assumptions!M98)</f>
        <v>0.25</v>
      </c>
      <c r="N95" s="90">
        <f>CHOOSE(DCF!$I$61,Assumptions!N96,Assumptions!N97,Assumptions!N98)</f>
        <v>0.25</v>
      </c>
      <c r="O95" s="90">
        <f>CHOOSE(DCF!$I$61,Assumptions!O96,Assumptions!O97,Assumptions!O98)</f>
        <v>0.25</v>
      </c>
      <c r="P95" s="90">
        <f>CHOOSE(DCF!$I$61,Assumptions!P96,Assumptions!P97,Assumptions!P98)</f>
        <v>0.25</v>
      </c>
    </row>
    <row r="96" spans="2:19" x14ac:dyDescent="0.2">
      <c r="B96" s="11" t="s">
        <v>243</v>
      </c>
      <c r="D96" s="9" t="s">
        <v>113</v>
      </c>
      <c r="F96" s="20">
        <v>0.35</v>
      </c>
      <c r="G96" s="20">
        <v>0.35</v>
      </c>
      <c r="H96" s="20">
        <v>0.35</v>
      </c>
      <c r="I96" s="20">
        <v>0.3</v>
      </c>
      <c r="J96" s="20">
        <v>0.3</v>
      </c>
      <c r="K96" s="20">
        <v>0.3</v>
      </c>
      <c r="L96" s="20">
        <v>0.3</v>
      </c>
      <c r="M96" s="20">
        <v>0.25</v>
      </c>
      <c r="N96" s="20">
        <v>0.25</v>
      </c>
      <c r="O96" s="20">
        <v>0.2</v>
      </c>
      <c r="P96" s="20">
        <v>0.2</v>
      </c>
    </row>
    <row r="97" spans="2:28" x14ac:dyDescent="0.2">
      <c r="B97" s="11" t="s">
        <v>244</v>
      </c>
      <c r="D97" s="9" t="s">
        <v>113</v>
      </c>
      <c r="F97" s="20">
        <v>0.35</v>
      </c>
      <c r="G97" s="20">
        <v>0.35</v>
      </c>
      <c r="H97" s="20">
        <v>0.35</v>
      </c>
      <c r="I97" s="20">
        <v>0.3</v>
      </c>
      <c r="J97" s="20">
        <v>0.3</v>
      </c>
      <c r="K97" s="20">
        <v>0.3</v>
      </c>
      <c r="L97" s="20">
        <v>0.3</v>
      </c>
      <c r="M97" s="20">
        <v>0.25</v>
      </c>
      <c r="N97" s="20">
        <v>0.25</v>
      </c>
      <c r="O97" s="20">
        <v>0.25</v>
      </c>
      <c r="P97" s="20">
        <v>0.25</v>
      </c>
    </row>
    <row r="98" spans="2:28" x14ac:dyDescent="0.2">
      <c r="B98" s="11" t="s">
        <v>245</v>
      </c>
      <c r="D98" s="9" t="s">
        <v>113</v>
      </c>
      <c r="F98" s="20">
        <v>0.35</v>
      </c>
      <c r="G98" s="20">
        <v>0.35</v>
      </c>
      <c r="H98" s="20">
        <v>0.35</v>
      </c>
      <c r="I98" s="20">
        <v>0.35</v>
      </c>
      <c r="J98" s="20">
        <v>0.35</v>
      </c>
      <c r="K98" s="20">
        <v>0.35</v>
      </c>
      <c r="L98" s="20">
        <v>0.3</v>
      </c>
      <c r="M98" s="20">
        <v>0.3</v>
      </c>
      <c r="N98" s="20">
        <v>0.3</v>
      </c>
      <c r="O98" s="20">
        <v>0.25</v>
      </c>
      <c r="P98" s="20">
        <v>0.25</v>
      </c>
    </row>
    <row r="99" spans="2:28" x14ac:dyDescent="0.2">
      <c r="B99" s="11"/>
      <c r="D99" s="9"/>
      <c r="G99" s="20"/>
      <c r="H99" s="20"/>
      <c r="I99" s="20"/>
      <c r="J99" s="20"/>
      <c r="K99" s="20"/>
      <c r="L99" s="20"/>
      <c r="M99" s="20"/>
      <c r="N99" s="20"/>
      <c r="O99" s="20"/>
      <c r="P99" s="20"/>
    </row>
    <row r="100" spans="2:28" x14ac:dyDescent="0.2">
      <c r="B100" s="57" t="s">
        <v>246</v>
      </c>
      <c r="D100" s="89" t="s">
        <v>136</v>
      </c>
      <c r="F100" s="92">
        <f>CHOOSE(DCF!$I$61,Assumptions!F101,Assumptions!F102,Assumptions!F103)</f>
        <v>0.67</v>
      </c>
      <c r="G100" s="92">
        <f>CHOOSE(DCF!$I$61,Assumptions!G101,Assumptions!G102,Assumptions!G103)</f>
        <v>0.67</v>
      </c>
      <c r="H100" s="92">
        <f>CHOOSE(DCF!$I$61,Assumptions!H101,Assumptions!H102,Assumptions!H103)</f>
        <v>1</v>
      </c>
      <c r="I100" s="92">
        <f>CHOOSE(DCF!$I$61,Assumptions!I101,Assumptions!I102,Assumptions!I103)</f>
        <v>1</v>
      </c>
      <c r="J100" s="92">
        <f>CHOOSE(DCF!$I$61,Assumptions!J101,Assumptions!J102,Assumptions!J103)</f>
        <v>1.25</v>
      </c>
      <c r="K100" s="92">
        <f>CHOOSE(DCF!$I$61,Assumptions!K101,Assumptions!K102,Assumptions!K103)</f>
        <v>1.25</v>
      </c>
      <c r="L100" s="92">
        <f>CHOOSE(DCF!$I$61,Assumptions!L101,Assumptions!L102,Assumptions!L103)</f>
        <v>1.25</v>
      </c>
      <c r="M100" s="92">
        <f>CHOOSE(DCF!$I$61,Assumptions!M101,Assumptions!M102,Assumptions!M103)</f>
        <v>1.5</v>
      </c>
      <c r="N100" s="92">
        <f>CHOOSE(DCF!$I$61,Assumptions!N101,Assumptions!N102,Assumptions!N103)</f>
        <v>1.5</v>
      </c>
      <c r="O100" s="92">
        <f>CHOOSE(DCF!$I$61,Assumptions!O101,Assumptions!O102,Assumptions!O103)</f>
        <v>1.5</v>
      </c>
      <c r="P100" s="92">
        <f>CHOOSE(DCF!$I$61,Assumptions!P101,Assumptions!P102,Assumptions!P103)</f>
        <v>1.5</v>
      </c>
    </row>
    <row r="101" spans="2:28" x14ac:dyDescent="0.2">
      <c r="B101" s="91" t="s">
        <v>243</v>
      </c>
      <c r="D101" s="9" t="s">
        <v>136</v>
      </c>
      <c r="F101" s="84">
        <v>0.67</v>
      </c>
      <c r="G101" s="84">
        <v>0.67</v>
      </c>
      <c r="H101" s="84">
        <v>0.67</v>
      </c>
      <c r="I101" s="84">
        <v>1</v>
      </c>
      <c r="J101" s="84">
        <v>1</v>
      </c>
      <c r="K101" s="84">
        <v>1</v>
      </c>
      <c r="L101" s="84">
        <v>1.25</v>
      </c>
      <c r="M101" s="84">
        <v>1.25</v>
      </c>
      <c r="N101" s="84">
        <v>1.25</v>
      </c>
      <c r="O101" s="84">
        <v>1.25</v>
      </c>
      <c r="P101" s="84">
        <v>1.25</v>
      </c>
    </row>
    <row r="102" spans="2:28" x14ac:dyDescent="0.2">
      <c r="B102" s="91" t="s">
        <v>244</v>
      </c>
      <c r="D102" s="9" t="s">
        <v>136</v>
      </c>
      <c r="F102" s="84">
        <v>0.67</v>
      </c>
      <c r="G102" s="84">
        <v>0.67</v>
      </c>
      <c r="H102" s="84">
        <v>1</v>
      </c>
      <c r="I102" s="84">
        <v>1</v>
      </c>
      <c r="J102" s="84">
        <v>1.25</v>
      </c>
      <c r="K102" s="84">
        <v>1.25</v>
      </c>
      <c r="L102" s="84">
        <v>1.25</v>
      </c>
      <c r="M102" s="84">
        <v>1.5</v>
      </c>
      <c r="N102" s="84">
        <v>1.5</v>
      </c>
      <c r="O102" s="84">
        <v>1.5</v>
      </c>
      <c r="P102" s="84">
        <v>1.5</v>
      </c>
    </row>
    <row r="103" spans="2:28" x14ac:dyDescent="0.2">
      <c r="B103" s="91" t="s">
        <v>245</v>
      </c>
      <c r="D103" s="9" t="s">
        <v>136</v>
      </c>
      <c r="F103" s="84">
        <v>0.67</v>
      </c>
      <c r="G103" s="84">
        <v>1</v>
      </c>
      <c r="H103" s="84">
        <v>1.25</v>
      </c>
      <c r="I103" s="84">
        <v>1.25</v>
      </c>
      <c r="J103" s="84">
        <v>1.25</v>
      </c>
      <c r="K103" s="84">
        <v>1.25</v>
      </c>
      <c r="L103" s="84">
        <v>1.5</v>
      </c>
      <c r="M103" s="84">
        <v>1.5</v>
      </c>
      <c r="N103" s="84">
        <v>1.5</v>
      </c>
      <c r="O103" s="84">
        <v>1.5</v>
      </c>
      <c r="P103" s="84">
        <v>1.5</v>
      </c>
    </row>
    <row r="104" spans="2:28" x14ac:dyDescent="0.2">
      <c r="B104" s="91"/>
      <c r="D104" s="9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</row>
    <row r="105" spans="2:28" x14ac:dyDescent="0.2">
      <c r="B105" s="91"/>
      <c r="D105" s="9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</row>
    <row r="106" spans="2:28" x14ac:dyDescent="0.2">
      <c r="B106" s="47" t="s">
        <v>132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8" spans="2:28" x14ac:dyDescent="0.2">
      <c r="B108" s="85" t="s">
        <v>254</v>
      </c>
      <c r="D108" s="89" t="s">
        <v>133</v>
      </c>
      <c r="F108" s="101">
        <v>500</v>
      </c>
      <c r="G108" s="101">
        <f>F108*(1+F109)</f>
        <v>540</v>
      </c>
      <c r="H108" s="101">
        <f t="shared" ref="H108:P108" si="24">G108*(1+G109)</f>
        <v>583.20000000000005</v>
      </c>
      <c r="I108" s="101">
        <f t="shared" si="24"/>
        <v>629.85600000000011</v>
      </c>
      <c r="J108" s="101">
        <f t="shared" si="24"/>
        <v>680.24448000000018</v>
      </c>
      <c r="K108" s="101">
        <f t="shared" si="24"/>
        <v>734.66403840000021</v>
      </c>
      <c r="L108" s="101">
        <f t="shared" si="24"/>
        <v>793.4371614720003</v>
      </c>
      <c r="M108" s="101">
        <f t="shared" si="24"/>
        <v>841.04339116032031</v>
      </c>
      <c r="N108" s="101">
        <f t="shared" si="24"/>
        <v>891.50599462993955</v>
      </c>
      <c r="O108" s="101">
        <f t="shared" si="24"/>
        <v>944.99635430773594</v>
      </c>
      <c r="P108" s="101">
        <f t="shared" si="24"/>
        <v>982.79620848004538</v>
      </c>
    </row>
    <row r="109" spans="2:28" x14ac:dyDescent="0.2">
      <c r="B109" s="85" t="s">
        <v>252</v>
      </c>
      <c r="D109" s="89" t="s">
        <v>113</v>
      </c>
      <c r="F109" s="90">
        <f>CHOOSE(DCF!$I$61,Assumptions!F110,Assumptions!F111,Assumptions!F112)</f>
        <v>0.08</v>
      </c>
      <c r="G109" s="90">
        <f>CHOOSE(DCF!$I$61,Assumptions!G110,Assumptions!G111,Assumptions!G112)</f>
        <v>0.08</v>
      </c>
      <c r="H109" s="90">
        <f>CHOOSE(DCF!$I$61,Assumptions!H110,Assumptions!H111,Assumptions!H112)</f>
        <v>0.08</v>
      </c>
      <c r="I109" s="90">
        <f>CHOOSE(DCF!$I$61,Assumptions!I110,Assumptions!I111,Assumptions!I112)</f>
        <v>0.08</v>
      </c>
      <c r="J109" s="90">
        <f>CHOOSE(DCF!$I$61,Assumptions!J110,Assumptions!J111,Assumptions!J112)</f>
        <v>0.08</v>
      </c>
      <c r="K109" s="90">
        <f>CHOOSE(DCF!$I$61,Assumptions!K110,Assumptions!K111,Assumptions!K112)</f>
        <v>0.08</v>
      </c>
      <c r="L109" s="90">
        <f>CHOOSE(DCF!$I$61,Assumptions!L110,Assumptions!L111,Assumptions!L112)</f>
        <v>0.06</v>
      </c>
      <c r="M109" s="90">
        <f>CHOOSE(DCF!$I$61,Assumptions!M110,Assumptions!M111,Assumptions!M112)</f>
        <v>0.06</v>
      </c>
      <c r="N109" s="90">
        <f>CHOOSE(DCF!$I$61,Assumptions!N110,Assumptions!N111,Assumptions!N112)</f>
        <v>0.06</v>
      </c>
      <c r="O109" s="90">
        <f>CHOOSE(DCF!$I$61,Assumptions!O110,Assumptions!O111,Assumptions!O112)</f>
        <v>0.04</v>
      </c>
      <c r="P109" s="90">
        <f>CHOOSE(DCF!$I$61,Assumptions!P110,Assumptions!P111,Assumptions!P112)</f>
        <v>0.04</v>
      </c>
    </row>
    <row r="110" spans="2:28" x14ac:dyDescent="0.2">
      <c r="B110" s="11" t="s">
        <v>243</v>
      </c>
      <c r="D110" s="9" t="s">
        <v>113</v>
      </c>
      <c r="F110" s="76">
        <v>0.08</v>
      </c>
      <c r="G110" s="76">
        <v>0.08</v>
      </c>
      <c r="H110" s="76">
        <v>0.08</v>
      </c>
      <c r="I110" s="76">
        <v>0.08</v>
      </c>
      <c r="J110" s="76">
        <v>0.06</v>
      </c>
      <c r="K110" s="76">
        <v>0.06</v>
      </c>
      <c r="L110" s="76">
        <v>0.06</v>
      </c>
      <c r="M110" s="76">
        <v>0.04</v>
      </c>
      <c r="N110" s="76">
        <v>0.04</v>
      </c>
      <c r="O110" s="76">
        <v>0.04</v>
      </c>
      <c r="P110" s="76">
        <v>0.04</v>
      </c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</row>
    <row r="111" spans="2:28" x14ac:dyDescent="0.2">
      <c r="B111" s="11" t="s">
        <v>244</v>
      </c>
      <c r="D111" s="9" t="s">
        <v>113</v>
      </c>
      <c r="F111" s="76">
        <v>0.08</v>
      </c>
      <c r="G111" s="76">
        <v>0.08</v>
      </c>
      <c r="H111" s="76">
        <v>0.08</v>
      </c>
      <c r="I111" s="76">
        <v>0.08</v>
      </c>
      <c r="J111" s="76">
        <v>0.08</v>
      </c>
      <c r="K111" s="76">
        <v>0.08</v>
      </c>
      <c r="L111" s="76">
        <v>0.06</v>
      </c>
      <c r="M111" s="76">
        <v>0.06</v>
      </c>
      <c r="N111" s="76">
        <v>0.06</v>
      </c>
      <c r="O111" s="76">
        <v>0.04</v>
      </c>
      <c r="P111" s="76">
        <v>0.04</v>
      </c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</row>
    <row r="112" spans="2:28" x14ac:dyDescent="0.2">
      <c r="B112" s="11" t="s">
        <v>245</v>
      </c>
      <c r="D112" s="9" t="s">
        <v>113</v>
      </c>
      <c r="F112" s="76">
        <v>0.1</v>
      </c>
      <c r="G112" s="76">
        <v>0.1</v>
      </c>
      <c r="H112" s="76">
        <v>0.1</v>
      </c>
      <c r="I112" s="76">
        <v>0.08</v>
      </c>
      <c r="J112" s="76">
        <v>0.08</v>
      </c>
      <c r="K112" s="76">
        <v>0.08</v>
      </c>
      <c r="L112" s="76">
        <v>0.08</v>
      </c>
      <c r="M112" s="76">
        <v>0.08</v>
      </c>
      <c r="N112" s="76">
        <v>0.06</v>
      </c>
      <c r="O112" s="76">
        <v>0.06</v>
      </c>
      <c r="P112" s="76">
        <v>0.06</v>
      </c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</row>
    <row r="113" spans="2:28" x14ac:dyDescent="0.2">
      <c r="B113" s="11"/>
      <c r="D113" s="9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</row>
    <row r="114" spans="2:28" x14ac:dyDescent="0.2">
      <c r="B114" s="85" t="s">
        <v>255</v>
      </c>
      <c r="D114" s="89" t="s">
        <v>133</v>
      </c>
      <c r="F114" s="101">
        <v>600</v>
      </c>
      <c r="G114" s="101">
        <f>F114*(1+F115)</f>
        <v>660</v>
      </c>
      <c r="H114" s="101">
        <f t="shared" ref="H114:P114" si="25">G114*(1+G115)</f>
        <v>712.80000000000007</v>
      </c>
      <c r="I114" s="101">
        <f t="shared" si="25"/>
        <v>769.82400000000007</v>
      </c>
      <c r="J114" s="101">
        <f t="shared" si="25"/>
        <v>831.40992000000017</v>
      </c>
      <c r="K114" s="101">
        <f t="shared" si="25"/>
        <v>881.29451520000021</v>
      </c>
      <c r="L114" s="101">
        <f t="shared" si="25"/>
        <v>934.1721861120003</v>
      </c>
      <c r="M114" s="101">
        <f t="shared" si="25"/>
        <v>990.22251727872037</v>
      </c>
      <c r="N114" s="101">
        <f t="shared" si="25"/>
        <v>1039.7336431426565</v>
      </c>
      <c r="O114" s="101">
        <f t="shared" si="25"/>
        <v>1091.7203252997895</v>
      </c>
      <c r="P114" s="101">
        <f t="shared" si="25"/>
        <v>1146.3063415647789</v>
      </c>
    </row>
    <row r="115" spans="2:28" x14ac:dyDescent="0.2">
      <c r="B115" s="85" t="s">
        <v>253</v>
      </c>
      <c r="D115" s="89" t="s">
        <v>113</v>
      </c>
      <c r="F115" s="90">
        <f>CHOOSE(DCF!$I$61,Assumptions!F116,Assumptions!F117,Assumptions!F118)</f>
        <v>0.1</v>
      </c>
      <c r="G115" s="90">
        <f>CHOOSE(DCF!$I$61,Assumptions!G116,Assumptions!G117,Assumptions!G118)</f>
        <v>0.08</v>
      </c>
      <c r="H115" s="90">
        <f>CHOOSE(DCF!$I$61,Assumptions!H116,Assumptions!H117,Assumptions!H118)</f>
        <v>0.08</v>
      </c>
      <c r="I115" s="90">
        <f>CHOOSE(DCF!$I$61,Assumptions!I116,Assumptions!I117,Assumptions!I118)</f>
        <v>0.08</v>
      </c>
      <c r="J115" s="90">
        <f>CHOOSE(DCF!$I$61,Assumptions!J116,Assumptions!J117,Assumptions!J118)</f>
        <v>0.06</v>
      </c>
      <c r="K115" s="90">
        <f>CHOOSE(DCF!$I$61,Assumptions!K116,Assumptions!K117,Assumptions!K118)</f>
        <v>0.06</v>
      </c>
      <c r="L115" s="90">
        <f>CHOOSE(DCF!$I$61,Assumptions!L116,Assumptions!L117,Assumptions!L118)</f>
        <v>0.06</v>
      </c>
      <c r="M115" s="90">
        <f>CHOOSE(DCF!$I$61,Assumptions!M116,Assumptions!M117,Assumptions!M118)</f>
        <v>0.05</v>
      </c>
      <c r="N115" s="90">
        <f>CHOOSE(DCF!$I$61,Assumptions!N116,Assumptions!N117,Assumptions!N118)</f>
        <v>0.05</v>
      </c>
      <c r="O115" s="90">
        <f>CHOOSE(DCF!$I$61,Assumptions!O116,Assumptions!O117,Assumptions!O118)</f>
        <v>0.05</v>
      </c>
      <c r="P115" s="90">
        <f>CHOOSE(DCF!$I$61,Assumptions!P116,Assumptions!P117,Assumptions!P118)</f>
        <v>0.05</v>
      </c>
    </row>
    <row r="116" spans="2:28" x14ac:dyDescent="0.2">
      <c r="B116" s="11" t="s">
        <v>243</v>
      </c>
      <c r="D116" s="9" t="s">
        <v>113</v>
      </c>
      <c r="F116" s="20">
        <v>0.1</v>
      </c>
      <c r="G116" s="20">
        <v>0.08</v>
      </c>
      <c r="H116" s="20">
        <v>0.08</v>
      </c>
      <c r="I116" s="20">
        <v>0.08</v>
      </c>
      <c r="J116" s="20">
        <v>0.05</v>
      </c>
      <c r="K116" s="20">
        <v>0.05</v>
      </c>
      <c r="L116" s="20">
        <v>0.03</v>
      </c>
      <c r="M116" s="20">
        <v>0.03</v>
      </c>
      <c r="N116" s="20">
        <v>0.03</v>
      </c>
      <c r="O116" s="20">
        <v>0.03</v>
      </c>
      <c r="P116" s="20">
        <v>0.03</v>
      </c>
    </row>
    <row r="117" spans="2:28" x14ac:dyDescent="0.2">
      <c r="B117" s="11" t="s">
        <v>244</v>
      </c>
      <c r="D117" s="9" t="s">
        <v>113</v>
      </c>
      <c r="F117" s="76">
        <v>0.1</v>
      </c>
      <c r="G117" s="76">
        <v>0.08</v>
      </c>
      <c r="H117" s="76">
        <v>0.08</v>
      </c>
      <c r="I117" s="76">
        <v>0.08</v>
      </c>
      <c r="J117" s="76">
        <v>0.06</v>
      </c>
      <c r="K117" s="76">
        <v>0.06</v>
      </c>
      <c r="L117" s="76">
        <v>0.06</v>
      </c>
      <c r="M117" s="76">
        <v>0.05</v>
      </c>
      <c r="N117" s="76">
        <v>0.05</v>
      </c>
      <c r="O117" s="76">
        <v>0.05</v>
      </c>
      <c r="P117" s="76">
        <v>0.05</v>
      </c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 spans="2:28" x14ac:dyDescent="0.2">
      <c r="B118" s="11" t="s">
        <v>245</v>
      </c>
      <c r="D118" s="9" t="s">
        <v>113</v>
      </c>
      <c r="F118" s="20">
        <v>0.1</v>
      </c>
      <c r="G118" s="20">
        <v>0.1</v>
      </c>
      <c r="H118" s="20">
        <v>0.1</v>
      </c>
      <c r="I118" s="20">
        <v>0.08</v>
      </c>
      <c r="J118" s="20">
        <v>0.08</v>
      </c>
      <c r="K118" s="20">
        <v>0.08</v>
      </c>
      <c r="L118" s="20">
        <v>0.06</v>
      </c>
      <c r="M118" s="20">
        <v>0.06</v>
      </c>
      <c r="N118" s="20">
        <v>0.05</v>
      </c>
      <c r="O118" s="20">
        <v>0.05</v>
      </c>
      <c r="P118" s="20">
        <v>0.05</v>
      </c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</row>
    <row r="119" spans="2:28" x14ac:dyDescent="0.2">
      <c r="D119" s="9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 spans="2:28" x14ac:dyDescent="0.2">
      <c r="B120" s="57" t="s">
        <v>146</v>
      </c>
      <c r="D120" s="89" t="s">
        <v>133</v>
      </c>
      <c r="F120" s="102">
        <v>27117</v>
      </c>
      <c r="G120" s="102">
        <f t="shared" ref="G120:P120" si="26">F120*G121+F120*I42</f>
        <v>33489.494999999995</v>
      </c>
      <c r="H120" s="102">
        <f t="shared" si="26"/>
        <v>38847.814199999993</v>
      </c>
      <c r="I120" s="102">
        <f t="shared" si="26"/>
        <v>45451.942613999992</v>
      </c>
      <c r="J120" s="102">
        <f t="shared" si="26"/>
        <v>50906.175727679991</v>
      </c>
      <c r="K120" s="102">
        <f t="shared" si="26"/>
        <v>57014.91681500159</v>
      </c>
      <c r="L120" s="102">
        <f t="shared" si="26"/>
        <v>63856.706832801778</v>
      </c>
      <c r="M120" s="102">
        <f t="shared" si="26"/>
        <v>72158.078721066006</v>
      </c>
      <c r="N120" s="102">
        <f t="shared" si="26"/>
        <v>81538.62895480459</v>
      </c>
      <c r="O120" s="102">
        <f t="shared" si="26"/>
        <v>88061.719271188951</v>
      </c>
      <c r="P120" s="102">
        <f t="shared" si="26"/>
        <v>95106.656812884059</v>
      </c>
    </row>
    <row r="121" spans="2:28" x14ac:dyDescent="0.2">
      <c r="B121" s="57" t="s">
        <v>247</v>
      </c>
      <c r="D121" s="89" t="s">
        <v>113</v>
      </c>
      <c r="F121" s="90">
        <f>CHOOSE(DCF!$I$61,Assumptions!F122,Assumptions!F123,Assumptions!F124)</f>
        <v>0.4</v>
      </c>
      <c r="G121" s="90">
        <f>CHOOSE(DCF!$I$61,Assumptions!G122,Assumptions!G123,Assumptions!G124)</f>
        <v>0.375</v>
      </c>
      <c r="H121" s="90">
        <f>CHOOSE(DCF!$I$61,Assumptions!H122,Assumptions!H123,Assumptions!H124)</f>
        <v>0.3</v>
      </c>
      <c r="I121" s="90">
        <f>CHOOSE(DCF!$I$61,Assumptions!I122,Assumptions!I123,Assumptions!I124)</f>
        <v>0.3</v>
      </c>
      <c r="J121" s="90">
        <f>CHOOSE(DCF!$I$61,Assumptions!J122,Assumptions!J123,Assumptions!J124)</f>
        <v>0.25</v>
      </c>
      <c r="K121" s="90">
        <f>CHOOSE(DCF!$I$61,Assumptions!K122,Assumptions!K123,Assumptions!K124)</f>
        <v>0.25</v>
      </c>
      <c r="L121" s="90">
        <f>CHOOSE(DCF!$I$61,Assumptions!L122,Assumptions!L123,Assumptions!L124)</f>
        <v>0.25</v>
      </c>
      <c r="M121" s="90">
        <f>CHOOSE(DCF!$I$61,Assumptions!M122,Assumptions!M123,Assumptions!M124)</f>
        <v>0.25</v>
      </c>
      <c r="N121" s="90">
        <f>CHOOSE(DCF!$I$61,Assumptions!N122,Assumptions!N123,Assumptions!N124)</f>
        <v>0.25</v>
      </c>
      <c r="O121" s="90">
        <f>CHOOSE(DCF!$I$61,Assumptions!O122,Assumptions!O123,Assumptions!O124)</f>
        <v>0.2</v>
      </c>
      <c r="P121" s="90">
        <f>CHOOSE(DCF!$I$61,Assumptions!P122,Assumptions!P123,Assumptions!P124)</f>
        <v>0.2</v>
      </c>
    </row>
    <row r="122" spans="2:28" x14ac:dyDescent="0.2">
      <c r="B122" s="11" t="s">
        <v>243</v>
      </c>
      <c r="D122" s="9" t="s">
        <v>113</v>
      </c>
      <c r="F122" s="76">
        <v>0.35</v>
      </c>
      <c r="G122" s="76">
        <v>0.35</v>
      </c>
      <c r="H122" s="76">
        <v>0.3</v>
      </c>
      <c r="I122" s="76">
        <v>0.25</v>
      </c>
      <c r="J122" s="76">
        <v>0.25</v>
      </c>
      <c r="K122" s="76">
        <v>0.25</v>
      </c>
      <c r="L122" s="76">
        <v>0.25</v>
      </c>
      <c r="M122" s="76">
        <v>0.25</v>
      </c>
      <c r="N122" s="76">
        <v>0.25</v>
      </c>
      <c r="O122" s="76">
        <v>0.14000000000000001</v>
      </c>
      <c r="P122" s="76">
        <v>0.14000000000000001</v>
      </c>
    </row>
    <row r="123" spans="2:28" x14ac:dyDescent="0.2">
      <c r="B123" s="11" t="s">
        <v>244</v>
      </c>
      <c r="D123" s="9" t="s">
        <v>113</v>
      </c>
      <c r="F123" s="76">
        <v>0.4</v>
      </c>
      <c r="G123" s="76">
        <v>0.375</v>
      </c>
      <c r="H123" s="76">
        <v>0.3</v>
      </c>
      <c r="I123" s="76">
        <v>0.3</v>
      </c>
      <c r="J123" s="76">
        <v>0.25</v>
      </c>
      <c r="K123" s="76">
        <v>0.25</v>
      </c>
      <c r="L123" s="76">
        <v>0.25</v>
      </c>
      <c r="M123" s="76">
        <v>0.25</v>
      </c>
      <c r="N123" s="76">
        <v>0.25</v>
      </c>
      <c r="O123" s="76">
        <v>0.2</v>
      </c>
      <c r="P123" s="76">
        <v>0.2</v>
      </c>
    </row>
    <row r="124" spans="2:28" x14ac:dyDescent="0.2">
      <c r="B124" s="11" t="s">
        <v>245</v>
      </c>
      <c r="D124" s="9" t="s">
        <v>113</v>
      </c>
      <c r="F124" s="20">
        <v>0.45</v>
      </c>
      <c r="G124" s="20">
        <v>0.4</v>
      </c>
      <c r="H124" s="20">
        <v>0.4</v>
      </c>
      <c r="I124" s="20">
        <v>0.35</v>
      </c>
      <c r="J124" s="20">
        <v>0.3</v>
      </c>
      <c r="K124" s="20">
        <v>0.25</v>
      </c>
      <c r="L124" s="20">
        <v>0.25</v>
      </c>
      <c r="M124" s="20">
        <v>0.25</v>
      </c>
      <c r="N124" s="20">
        <v>0.25</v>
      </c>
      <c r="O124" s="20">
        <v>0.2</v>
      </c>
      <c r="P124" s="20">
        <v>0.2</v>
      </c>
    </row>
  </sheetData>
  <mergeCells count="11">
    <mergeCell ref="F90:P90"/>
    <mergeCell ref="F80:H80"/>
    <mergeCell ref="F50:H50"/>
    <mergeCell ref="F31:H31"/>
    <mergeCell ref="I2:S2"/>
    <mergeCell ref="I31:S31"/>
    <mergeCell ref="I50:S50"/>
    <mergeCell ref="I71:S71"/>
    <mergeCell ref="I80:S80"/>
    <mergeCell ref="F2:H2"/>
    <mergeCell ref="F71:H71"/>
  </mergeCells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1A91-1862-AD41-B0F6-78363D3A0621}">
  <dimension ref="B2:O36"/>
  <sheetViews>
    <sheetView showGridLines="0" zoomScale="75" zoomScaleNormal="137" workbookViewId="0">
      <selection activeCell="G35" sqref="G35"/>
    </sheetView>
  </sheetViews>
  <sheetFormatPr baseColWidth="10" defaultRowHeight="16" x14ac:dyDescent="0.2"/>
  <cols>
    <col min="1" max="1" width="10.83203125" style="8"/>
    <col min="2" max="2" width="40.33203125" style="8" bestFit="1" customWidth="1"/>
    <col min="3" max="3" width="10.83203125" style="8" customWidth="1"/>
    <col min="4" max="4" width="10.83203125" style="8"/>
    <col min="5" max="8" width="17.6640625" style="8" bestFit="1" customWidth="1"/>
    <col min="9" max="12" width="18.5" style="8" bestFit="1" customWidth="1"/>
    <col min="13" max="19" width="19.83203125" style="8" bestFit="1" customWidth="1"/>
    <col min="20" max="16384" width="10.83203125" style="8"/>
  </cols>
  <sheetData>
    <row r="2" spans="2:15" x14ac:dyDescent="0.2">
      <c r="B2" s="1"/>
      <c r="C2" s="1"/>
      <c r="D2" s="97"/>
      <c r="E2" s="117" t="s">
        <v>77</v>
      </c>
      <c r="F2" s="118"/>
      <c r="G2" s="118"/>
      <c r="H2" s="118"/>
      <c r="I2" s="118"/>
      <c r="J2" s="118"/>
      <c r="K2" s="118"/>
      <c r="L2" s="118"/>
      <c r="M2" s="118"/>
      <c r="N2" s="118"/>
      <c r="O2" s="118"/>
    </row>
    <row r="3" spans="2:15" x14ac:dyDescent="0.2">
      <c r="B3" s="2" t="s">
        <v>131</v>
      </c>
      <c r="C3" s="1"/>
      <c r="D3" s="3" t="s">
        <v>79</v>
      </c>
      <c r="E3" s="4" t="s">
        <v>83</v>
      </c>
      <c r="F3" s="4" t="s">
        <v>84</v>
      </c>
      <c r="G3" s="5" t="s">
        <v>85</v>
      </c>
      <c r="H3" s="5" t="s">
        <v>86</v>
      </c>
      <c r="I3" s="5" t="s">
        <v>88</v>
      </c>
      <c r="J3" s="5" t="s">
        <v>117</v>
      </c>
      <c r="K3" s="5" t="s">
        <v>118</v>
      </c>
      <c r="L3" s="5" t="s">
        <v>119</v>
      </c>
      <c r="M3" s="6" t="s">
        <v>120</v>
      </c>
      <c r="N3" s="5" t="s">
        <v>121</v>
      </c>
      <c r="O3" s="6" t="s">
        <v>122</v>
      </c>
    </row>
    <row r="4" spans="2:15" x14ac:dyDescent="0.2">
      <c r="B4" s="7" t="s">
        <v>138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2:15" x14ac:dyDescent="0.2">
      <c r="B6" s="8" t="s">
        <v>141</v>
      </c>
      <c r="D6" s="9" t="s">
        <v>133</v>
      </c>
      <c r="E6" s="10">
        <f>Assumptions!F94</f>
        <v>411200</v>
      </c>
      <c r="F6" s="10">
        <f>Assumptions!G94</f>
        <v>497552</v>
      </c>
      <c r="G6" s="10">
        <f>Assumptions!H94</f>
        <v>602037.91999999993</v>
      </c>
      <c r="H6" s="10">
        <f>Assumptions!I94</f>
        <v>704384.36639999994</v>
      </c>
      <c r="I6" s="10">
        <f>Assumptions!J94</f>
        <v>824129.70868799998</v>
      </c>
      <c r="J6" s="10">
        <f>Assumptions!K94</f>
        <v>964231.75916496001</v>
      </c>
      <c r="K6" s="10">
        <f>Assumptions!L94</f>
        <v>1128151.1582230031</v>
      </c>
      <c r="L6" s="10">
        <f>Assumptions!M94</f>
        <v>1274810.8087919937</v>
      </c>
      <c r="M6" s="10">
        <f>Assumptions!N94</f>
        <v>1440536.2139349529</v>
      </c>
      <c r="N6" s="10">
        <f>Assumptions!O94</f>
        <v>1627805.9217464966</v>
      </c>
      <c r="O6" s="10">
        <f>Assumptions!P94</f>
        <v>1839420.6915735411</v>
      </c>
    </row>
    <row r="7" spans="2:15" x14ac:dyDescent="0.2">
      <c r="B7" s="11" t="s">
        <v>249</v>
      </c>
      <c r="D7" s="9" t="s">
        <v>136</v>
      </c>
      <c r="E7" s="84">
        <f>Assumptions!F100</f>
        <v>0.67</v>
      </c>
      <c r="F7" s="84">
        <f>Assumptions!G100</f>
        <v>0.67</v>
      </c>
      <c r="G7" s="84">
        <f>Assumptions!H100</f>
        <v>1</v>
      </c>
      <c r="H7" s="84">
        <f>Assumptions!I100</f>
        <v>1</v>
      </c>
      <c r="I7" s="84">
        <f>Assumptions!J100</f>
        <v>1.25</v>
      </c>
      <c r="J7" s="84">
        <f>Assumptions!K100</f>
        <v>1.25</v>
      </c>
      <c r="K7" s="84">
        <f>Assumptions!L100</f>
        <v>1.25</v>
      </c>
      <c r="L7" s="84">
        <f>Assumptions!M100</f>
        <v>1.5</v>
      </c>
      <c r="M7" s="84">
        <f>Assumptions!N100</f>
        <v>1.5</v>
      </c>
      <c r="N7" s="84">
        <f>Assumptions!O100</f>
        <v>1.5</v>
      </c>
      <c r="O7" s="84">
        <f>Assumptions!P100</f>
        <v>1.5</v>
      </c>
    </row>
    <row r="8" spans="2:15" x14ac:dyDescent="0.2">
      <c r="B8" s="12" t="s">
        <v>134</v>
      </c>
      <c r="C8" s="13"/>
      <c r="D8" s="14" t="s">
        <v>136</v>
      </c>
      <c r="E8" s="15">
        <f>E6*E7</f>
        <v>275504</v>
      </c>
      <c r="F8" s="15">
        <f t="shared" ref="F8:O8" si="0">F6*F7</f>
        <v>333359.84000000003</v>
      </c>
      <c r="G8" s="15">
        <f t="shared" si="0"/>
        <v>602037.91999999993</v>
      </c>
      <c r="H8" s="15">
        <f t="shared" si="0"/>
        <v>704384.36639999994</v>
      </c>
      <c r="I8" s="15">
        <f t="shared" si="0"/>
        <v>1030162.13586</v>
      </c>
      <c r="J8" s="15">
        <f t="shared" si="0"/>
        <v>1205289.6989561999</v>
      </c>
      <c r="K8" s="15">
        <f t="shared" si="0"/>
        <v>1410188.9477787539</v>
      </c>
      <c r="L8" s="15">
        <f t="shared" si="0"/>
        <v>1912216.2131879905</v>
      </c>
      <c r="M8" s="15">
        <f t="shared" si="0"/>
        <v>2160804.3209024295</v>
      </c>
      <c r="N8" s="15">
        <f t="shared" si="0"/>
        <v>2441708.8826197451</v>
      </c>
      <c r="O8" s="15">
        <f t="shared" si="0"/>
        <v>2759131.0373603115</v>
      </c>
    </row>
    <row r="10" spans="2:15" x14ac:dyDescent="0.2">
      <c r="B10" s="16" t="s">
        <v>142</v>
      </c>
      <c r="C10" s="16"/>
      <c r="D10" s="17" t="s">
        <v>136</v>
      </c>
      <c r="E10" s="18">
        <f>E8</f>
        <v>275504</v>
      </c>
      <c r="F10" s="18">
        <f t="shared" ref="F10:O10" si="1">F8</f>
        <v>333359.84000000003</v>
      </c>
      <c r="G10" s="18">
        <f t="shared" si="1"/>
        <v>602037.91999999993</v>
      </c>
      <c r="H10" s="18">
        <f t="shared" si="1"/>
        <v>704384.36639999994</v>
      </c>
      <c r="I10" s="18">
        <f t="shared" si="1"/>
        <v>1030162.13586</v>
      </c>
      <c r="J10" s="18">
        <f t="shared" si="1"/>
        <v>1205289.6989561999</v>
      </c>
      <c r="K10" s="18">
        <f t="shared" si="1"/>
        <v>1410188.9477787539</v>
      </c>
      <c r="L10" s="18">
        <f t="shared" si="1"/>
        <v>1912216.2131879905</v>
      </c>
      <c r="M10" s="18">
        <f t="shared" si="1"/>
        <v>2160804.3209024295</v>
      </c>
      <c r="N10" s="18">
        <f t="shared" si="1"/>
        <v>2441708.8826197451</v>
      </c>
      <c r="O10" s="18">
        <f t="shared" si="1"/>
        <v>2759131.0373603115</v>
      </c>
    </row>
    <row r="12" spans="2:15" x14ac:dyDescent="0.2">
      <c r="B12" s="7" t="s">
        <v>132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4" spans="2:15" x14ac:dyDescent="0.2">
      <c r="B14" s="8" t="s">
        <v>141</v>
      </c>
      <c r="D14" s="9" t="s">
        <v>133</v>
      </c>
      <c r="E14" s="10">
        <f>Assumptions!F94</f>
        <v>411200</v>
      </c>
      <c r="F14" s="10">
        <f>Assumptions!G94</f>
        <v>497552</v>
      </c>
      <c r="G14" s="10">
        <f>Assumptions!H94</f>
        <v>602037.91999999993</v>
      </c>
      <c r="H14" s="10">
        <f>Assumptions!I94</f>
        <v>704384.36639999994</v>
      </c>
      <c r="I14" s="10">
        <f>Assumptions!J94</f>
        <v>824129.70868799998</v>
      </c>
      <c r="J14" s="10">
        <f>Assumptions!K94</f>
        <v>964231.75916496001</v>
      </c>
      <c r="K14" s="10">
        <f>Assumptions!L94</f>
        <v>1128151.1582230031</v>
      </c>
      <c r="L14" s="10">
        <f>Assumptions!M94</f>
        <v>1274810.8087919937</v>
      </c>
      <c r="M14" s="10">
        <f>Assumptions!N94</f>
        <v>1440536.2139349529</v>
      </c>
      <c r="N14" s="10">
        <f>Assumptions!O94</f>
        <v>1627805.9217464966</v>
      </c>
      <c r="O14" s="10">
        <f>Assumptions!P94</f>
        <v>1839420.6915735411</v>
      </c>
    </row>
    <row r="15" spans="2:15" x14ac:dyDescent="0.2">
      <c r="B15" s="11" t="s">
        <v>254</v>
      </c>
      <c r="D15" s="9" t="s">
        <v>136</v>
      </c>
      <c r="E15" s="10">
        <f>Assumptions!F108</f>
        <v>500</v>
      </c>
      <c r="F15" s="10">
        <f>Assumptions!G108</f>
        <v>540</v>
      </c>
      <c r="G15" s="10">
        <f>Assumptions!H108</f>
        <v>583.20000000000005</v>
      </c>
      <c r="H15" s="10">
        <f>Assumptions!I108</f>
        <v>629.85600000000011</v>
      </c>
      <c r="I15" s="10">
        <f>Assumptions!J108</f>
        <v>680.24448000000018</v>
      </c>
      <c r="J15" s="10">
        <f>Assumptions!K108</f>
        <v>734.66403840000021</v>
      </c>
      <c r="K15" s="10">
        <f>Assumptions!L108</f>
        <v>793.4371614720003</v>
      </c>
      <c r="L15" s="10">
        <f>Assumptions!M108</f>
        <v>841.04339116032031</v>
      </c>
      <c r="M15" s="10">
        <f>Assumptions!N108</f>
        <v>891.50599462993955</v>
      </c>
      <c r="N15" s="10">
        <f>Assumptions!O108</f>
        <v>944.99635430773594</v>
      </c>
      <c r="O15" s="10">
        <f>Assumptions!P108</f>
        <v>982.79620848004538</v>
      </c>
    </row>
    <row r="16" spans="2:15" x14ac:dyDescent="0.2">
      <c r="B16" s="11" t="s">
        <v>267</v>
      </c>
      <c r="D16" s="9" t="s">
        <v>136</v>
      </c>
      <c r="E16" s="10">
        <f>E14*E15</f>
        <v>205600000</v>
      </c>
      <c r="F16" s="10">
        <f t="shared" ref="F16:O16" si="2">F14*F15</f>
        <v>268678080</v>
      </c>
      <c r="G16" s="10">
        <f t="shared" si="2"/>
        <v>351108514.94400001</v>
      </c>
      <c r="H16" s="10">
        <f t="shared" si="2"/>
        <v>443660719.48323846</v>
      </c>
      <c r="I16" s="10">
        <f t="shared" si="2"/>
        <v>560609685.1390202</v>
      </c>
      <c r="J16" s="10">
        <f t="shared" si="2"/>
        <v>708386398.14166594</v>
      </c>
      <c r="K16" s="10">
        <f t="shared" si="2"/>
        <v>895117052.69180906</v>
      </c>
      <c r="L16" s="10">
        <f t="shared" si="2"/>
        <v>1072171205.714249</v>
      </c>
      <c r="M16" s="10">
        <f t="shared" si="2"/>
        <v>1284246670.2045276</v>
      </c>
      <c r="N16" s="10">
        <f t="shared" si="2"/>
        <v>1538270661.5709829</v>
      </c>
      <c r="O16" s="10">
        <f t="shared" si="2"/>
        <v>1807775681.4782193</v>
      </c>
    </row>
    <row r="17" spans="2:15" x14ac:dyDescent="0.2">
      <c r="B17" s="11" t="s">
        <v>147</v>
      </c>
      <c r="D17" s="9" t="s">
        <v>113</v>
      </c>
      <c r="E17" s="19">
        <v>1.2968750000000001E-3</v>
      </c>
      <c r="F17" s="19">
        <v>1.2968750000000001E-3</v>
      </c>
      <c r="G17" s="19">
        <v>1.2968750000000001E-3</v>
      </c>
      <c r="H17" s="19">
        <v>1.2968750000000001E-3</v>
      </c>
      <c r="I17" s="19">
        <v>1.2968750000000001E-3</v>
      </c>
      <c r="J17" s="19">
        <v>1.2968750000000001E-3</v>
      </c>
      <c r="K17" s="19">
        <v>1.2968750000000001E-3</v>
      </c>
      <c r="L17" s="19">
        <v>1.2968750000000001E-3</v>
      </c>
      <c r="M17" s="19">
        <v>1.2968750000000001E-3</v>
      </c>
      <c r="N17" s="19">
        <v>1.2968750000000001E-3</v>
      </c>
      <c r="O17" s="19">
        <v>1.2968750000000001E-3</v>
      </c>
    </row>
    <row r="18" spans="2:15" x14ac:dyDescent="0.2">
      <c r="B18" s="12" t="s">
        <v>134</v>
      </c>
      <c r="C18" s="13"/>
      <c r="D18" s="14" t="s">
        <v>136</v>
      </c>
      <c r="E18" s="15">
        <f t="shared" ref="E18:O18" si="3">E14*E15*E17</f>
        <v>266637.5</v>
      </c>
      <c r="F18" s="15">
        <f t="shared" si="3"/>
        <v>348441.88500000001</v>
      </c>
      <c r="G18" s="15">
        <f t="shared" si="3"/>
        <v>455343.85531800002</v>
      </c>
      <c r="H18" s="15">
        <f t="shared" si="3"/>
        <v>575372.4955798249</v>
      </c>
      <c r="I18" s="15">
        <f t="shared" si="3"/>
        <v>727040.68541466689</v>
      </c>
      <c r="J18" s="15">
        <f t="shared" si="3"/>
        <v>918688.61008997308</v>
      </c>
      <c r="K18" s="15">
        <f t="shared" si="3"/>
        <v>1160854.9277096898</v>
      </c>
      <c r="L18" s="15">
        <f t="shared" si="3"/>
        <v>1390472.0324106668</v>
      </c>
      <c r="M18" s="15">
        <f t="shared" si="3"/>
        <v>1665507.4004214969</v>
      </c>
      <c r="N18" s="15">
        <f t="shared" si="3"/>
        <v>1994944.7642248685</v>
      </c>
      <c r="O18" s="15">
        <f t="shared" si="3"/>
        <v>2344459.0869170655</v>
      </c>
    </row>
    <row r="20" spans="2:15" x14ac:dyDescent="0.2">
      <c r="B20" s="8" t="s">
        <v>146</v>
      </c>
      <c r="D20" s="9" t="s">
        <v>133</v>
      </c>
      <c r="E20" s="10">
        <f>Assumptions!F120</f>
        <v>27117</v>
      </c>
      <c r="F20" s="10">
        <f>Assumptions!G120</f>
        <v>33489.494999999995</v>
      </c>
      <c r="G20" s="10">
        <f>Assumptions!H120</f>
        <v>38847.814199999993</v>
      </c>
      <c r="H20" s="10">
        <f>Assumptions!I120</f>
        <v>45451.942613999992</v>
      </c>
      <c r="I20" s="10">
        <f>Assumptions!J120</f>
        <v>50906.175727679991</v>
      </c>
      <c r="J20" s="10">
        <f>Assumptions!K120</f>
        <v>57014.91681500159</v>
      </c>
      <c r="K20" s="10">
        <f>Assumptions!L120</f>
        <v>63856.706832801778</v>
      </c>
      <c r="L20" s="10">
        <f>Assumptions!M120</f>
        <v>72158.078721066006</v>
      </c>
      <c r="M20" s="10">
        <f>Assumptions!N120</f>
        <v>81538.62895480459</v>
      </c>
      <c r="N20" s="10">
        <f>Assumptions!O120</f>
        <v>88061.719271188951</v>
      </c>
      <c r="O20" s="10">
        <f>Assumptions!P120</f>
        <v>95106.656812884059</v>
      </c>
    </row>
    <row r="21" spans="2:15" x14ac:dyDescent="0.2">
      <c r="B21" s="11" t="s">
        <v>255</v>
      </c>
      <c r="D21" s="9" t="s">
        <v>136</v>
      </c>
      <c r="E21" s="10">
        <f>Assumptions!F114</f>
        <v>600</v>
      </c>
      <c r="F21" s="10">
        <f>Assumptions!G114</f>
        <v>660</v>
      </c>
      <c r="G21" s="10">
        <f>Assumptions!H114</f>
        <v>712.80000000000007</v>
      </c>
      <c r="H21" s="10">
        <f>Assumptions!I114</f>
        <v>769.82400000000007</v>
      </c>
      <c r="I21" s="10">
        <f>Assumptions!J114</f>
        <v>831.40992000000017</v>
      </c>
      <c r="J21" s="10">
        <f>Assumptions!K114</f>
        <v>881.29451520000021</v>
      </c>
      <c r="K21" s="10">
        <f>Assumptions!L114</f>
        <v>934.1721861120003</v>
      </c>
      <c r="L21" s="10">
        <f>Assumptions!M114</f>
        <v>990.22251727872037</v>
      </c>
      <c r="M21" s="10">
        <f>Assumptions!N114</f>
        <v>1039.7336431426565</v>
      </c>
      <c r="N21" s="10">
        <f>Assumptions!O114</f>
        <v>1091.7203252997895</v>
      </c>
      <c r="O21" s="10">
        <f>Assumptions!P114</f>
        <v>1146.3063415647789</v>
      </c>
    </row>
    <row r="22" spans="2:15" x14ac:dyDescent="0.2">
      <c r="B22" s="11" t="s">
        <v>268</v>
      </c>
      <c r="D22" s="9" t="s">
        <v>136</v>
      </c>
      <c r="E22" s="10">
        <f>E21*E20</f>
        <v>16270200</v>
      </c>
      <c r="F22" s="10">
        <f t="shared" ref="F22:O22" si="4">F21*F20</f>
        <v>22103066.699999996</v>
      </c>
      <c r="G22" s="10">
        <f t="shared" si="4"/>
        <v>27690721.961759999</v>
      </c>
      <c r="H22" s="10">
        <f t="shared" si="4"/>
        <v>34989996.270879932</v>
      </c>
      <c r="I22" s="10">
        <f t="shared" si="4"/>
        <v>42323899.489256375</v>
      </c>
      <c r="J22" s="10">
        <f t="shared" si="4"/>
        <v>50246933.473645166</v>
      </c>
      <c r="K22" s="10">
        <f t="shared" si="4"/>
        <v>59653159.419911541</v>
      </c>
      <c r="L22" s="10">
        <f t="shared" si="4"/>
        <v>71452554.353170052</v>
      </c>
      <c r="M22" s="10">
        <f t="shared" si="4"/>
        <v>84778455.740036279</v>
      </c>
      <c r="N22" s="10">
        <f t="shared" si="4"/>
        <v>96138768.809201136</v>
      </c>
      <c r="O22" s="10">
        <f t="shared" si="4"/>
        <v>109021363.82963409</v>
      </c>
    </row>
    <row r="23" spans="2:15" x14ac:dyDescent="0.2">
      <c r="B23" s="11" t="s">
        <v>148</v>
      </c>
      <c r="D23" s="9" t="s">
        <v>113</v>
      </c>
      <c r="E23" s="20">
        <v>2.6242424242424241E-2</v>
      </c>
      <c r="F23" s="20">
        <v>2.6242424242424241E-2</v>
      </c>
      <c r="G23" s="20">
        <v>2.6242424242424241E-2</v>
      </c>
      <c r="H23" s="20">
        <v>2.6242424242424241E-2</v>
      </c>
      <c r="I23" s="20">
        <v>2.6242424242424241E-2</v>
      </c>
      <c r="J23" s="20">
        <v>2.6242424242424241E-2</v>
      </c>
      <c r="K23" s="20">
        <v>2.6242424242424241E-2</v>
      </c>
      <c r="L23" s="20">
        <v>2.6242424242424241E-2</v>
      </c>
      <c r="M23" s="20">
        <v>2.6242424242424241E-2</v>
      </c>
      <c r="N23" s="20">
        <v>2.6242424242424241E-2</v>
      </c>
      <c r="O23" s="20">
        <v>2.6242424242424241E-2</v>
      </c>
    </row>
    <row r="24" spans="2:15" x14ac:dyDescent="0.2">
      <c r="B24" s="12" t="s">
        <v>135</v>
      </c>
      <c r="C24" s="13"/>
      <c r="D24" s="14" t="s">
        <v>136</v>
      </c>
      <c r="E24" s="15">
        <f t="shared" ref="E24:O24" si="5">E20*E21*E23</f>
        <v>426969.49090909091</v>
      </c>
      <c r="F24" s="15">
        <f t="shared" si="5"/>
        <v>580038.05339999986</v>
      </c>
      <c r="G24" s="15">
        <f t="shared" si="5"/>
        <v>726671.67329951993</v>
      </c>
      <c r="H24" s="15">
        <f t="shared" si="5"/>
        <v>918222.32638127333</v>
      </c>
      <c r="I24" s="15">
        <f t="shared" si="5"/>
        <v>1110681.7259907883</v>
      </c>
      <c r="J24" s="15">
        <f t="shared" si="5"/>
        <v>1318601.345096264</v>
      </c>
      <c r="K24" s="15">
        <f t="shared" si="5"/>
        <v>1565443.5168982847</v>
      </c>
      <c r="L24" s="15">
        <f t="shared" si="5"/>
        <v>1875088.2445407654</v>
      </c>
      <c r="M24" s="15">
        <f t="shared" si="5"/>
        <v>2224792.2021476184</v>
      </c>
      <c r="N24" s="15">
        <f t="shared" si="5"/>
        <v>2522914.3572353995</v>
      </c>
      <c r="O24" s="15">
        <f t="shared" si="5"/>
        <v>2860984.8811049429</v>
      </c>
    </row>
    <row r="26" spans="2:15" x14ac:dyDescent="0.2">
      <c r="B26" s="16" t="s">
        <v>143</v>
      </c>
      <c r="C26" s="16"/>
      <c r="D26" s="17" t="s">
        <v>136</v>
      </c>
      <c r="E26" s="18">
        <f t="shared" ref="E26:O26" si="6">E24+E18</f>
        <v>693606.99090909096</v>
      </c>
      <c r="F26" s="18">
        <f t="shared" si="6"/>
        <v>928479.93839999987</v>
      </c>
      <c r="G26" s="18">
        <f t="shared" si="6"/>
        <v>1182015.5286175199</v>
      </c>
      <c r="H26" s="18">
        <f t="shared" si="6"/>
        <v>1493594.8219610984</v>
      </c>
      <c r="I26" s="18">
        <f t="shared" si="6"/>
        <v>1837722.4114054553</v>
      </c>
      <c r="J26" s="18">
        <f t="shared" si="6"/>
        <v>2237289.9551862371</v>
      </c>
      <c r="K26" s="18">
        <f t="shared" si="6"/>
        <v>2726298.4446079745</v>
      </c>
      <c r="L26" s="18">
        <f t="shared" si="6"/>
        <v>3265560.2769514322</v>
      </c>
      <c r="M26" s="18">
        <f t="shared" si="6"/>
        <v>3890299.6025691153</v>
      </c>
      <c r="N26" s="18">
        <f t="shared" si="6"/>
        <v>4517859.1214602683</v>
      </c>
      <c r="O26" s="18">
        <f t="shared" si="6"/>
        <v>5205443.9680220084</v>
      </c>
    </row>
    <row r="28" spans="2:15" x14ac:dyDescent="0.2">
      <c r="B28" s="7" t="s">
        <v>93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30" spans="2:15" x14ac:dyDescent="0.2">
      <c r="B30" s="8" t="s">
        <v>56</v>
      </c>
      <c r="D30" s="9" t="s">
        <v>136</v>
      </c>
      <c r="E30" s="10">
        <f>'Balance Sheet'!G11</f>
        <v>2995247.7</v>
      </c>
      <c r="F30" s="10">
        <f>'Balance Sheet'!H11</f>
        <v>3925545.4804499997</v>
      </c>
      <c r="G30" s="10">
        <f>'Balance Sheet'!I11</f>
        <v>5113789.6982277595</v>
      </c>
      <c r="H30" s="10">
        <f>'Balance Sheet'!J11</f>
        <v>6461784.662680598</v>
      </c>
      <c r="I30" s="10">
        <f>'Balance Sheet'!K11</f>
        <v>8139603.392481734</v>
      </c>
      <c r="J30" s="10">
        <f>'Balance Sheet'!L11</f>
        <v>10241549.9768067</v>
      </c>
      <c r="K30" s="10">
        <f>'Balance Sheet'!M11</f>
        <v>12889397.863508228</v>
      </c>
      <c r="L30" s="10">
        <f>'Balance Sheet'!N11</f>
        <v>15438920.760910157</v>
      </c>
      <c r="M30" s="10">
        <f>'Balance Sheet'!O11</f>
        <v>18481839.200251613</v>
      </c>
      <c r="N30" s="10">
        <f>'Balance Sheet'!P11</f>
        <v>22064527.310132485</v>
      </c>
      <c r="O30" s="10">
        <f>'Balance Sheet'!Q11</f>
        <v>25876760.111656021</v>
      </c>
    </row>
    <row r="31" spans="2:15" x14ac:dyDescent="0.2">
      <c r="B31" s="21" t="s">
        <v>166</v>
      </c>
      <c r="C31" s="22"/>
      <c r="D31" s="23" t="s">
        <v>113</v>
      </c>
      <c r="E31" s="24">
        <f>Assumptions!I48</f>
        <v>0.03</v>
      </c>
      <c r="F31" s="24">
        <f>Assumptions!J48</f>
        <v>0.03</v>
      </c>
      <c r="G31" s="24">
        <f>Assumptions!K48</f>
        <v>0.03</v>
      </c>
      <c r="H31" s="24">
        <f>Assumptions!L48</f>
        <v>0.03</v>
      </c>
      <c r="I31" s="24">
        <f>Assumptions!M48</f>
        <v>0.03</v>
      </c>
      <c r="J31" s="24">
        <f>Assumptions!N48</f>
        <v>0.03</v>
      </c>
      <c r="K31" s="24">
        <f>Assumptions!O48</f>
        <v>0.03</v>
      </c>
      <c r="L31" s="24">
        <f>Assumptions!P48</f>
        <v>0.03</v>
      </c>
      <c r="M31" s="24">
        <f>Assumptions!Q48</f>
        <v>0.03</v>
      </c>
      <c r="N31" s="24">
        <f>Assumptions!R48</f>
        <v>0.03</v>
      </c>
      <c r="O31" s="24">
        <f>Assumptions!S48</f>
        <v>0.03</v>
      </c>
    </row>
    <row r="32" spans="2:15" x14ac:dyDescent="0.2">
      <c r="B32" s="25" t="s">
        <v>167</v>
      </c>
      <c r="D32" s="9" t="s">
        <v>136</v>
      </c>
      <c r="E32" s="10">
        <f>E30*E31</f>
        <v>89857.430999999997</v>
      </c>
      <c r="F32" s="10">
        <f t="shared" ref="F32:O32" si="7">F30*F31</f>
        <v>117766.36441349999</v>
      </c>
      <c r="G32" s="10">
        <f t="shared" si="7"/>
        <v>153413.69094683276</v>
      </c>
      <c r="H32" s="10">
        <f t="shared" si="7"/>
        <v>193853.53988041793</v>
      </c>
      <c r="I32" s="10">
        <f t="shared" si="7"/>
        <v>244188.10177445202</v>
      </c>
      <c r="J32" s="10">
        <f t="shared" si="7"/>
        <v>307246.49930420099</v>
      </c>
      <c r="K32" s="10">
        <f t="shared" si="7"/>
        <v>386681.93590524682</v>
      </c>
      <c r="L32" s="10">
        <f t="shared" si="7"/>
        <v>463167.6228273047</v>
      </c>
      <c r="M32" s="10">
        <f t="shared" si="7"/>
        <v>554455.17600754835</v>
      </c>
      <c r="N32" s="10">
        <f t="shared" si="7"/>
        <v>661935.81930397451</v>
      </c>
      <c r="O32" s="10">
        <f t="shared" si="7"/>
        <v>776302.80334968062</v>
      </c>
    </row>
    <row r="33" spans="2:15" x14ac:dyDescent="0.2">
      <c r="B33" s="25"/>
      <c r="D33" s="9"/>
    </row>
    <row r="34" spans="2:15" x14ac:dyDescent="0.2">
      <c r="B34" s="16" t="s">
        <v>168</v>
      </c>
      <c r="C34" s="16"/>
      <c r="D34" s="17" t="s">
        <v>136</v>
      </c>
      <c r="E34" s="18">
        <f>E32</f>
        <v>89857.430999999997</v>
      </c>
      <c r="F34" s="18">
        <f t="shared" ref="F34:O34" si="8">F32</f>
        <v>117766.36441349999</v>
      </c>
      <c r="G34" s="18">
        <f t="shared" si="8"/>
        <v>153413.69094683276</v>
      </c>
      <c r="H34" s="18">
        <f t="shared" si="8"/>
        <v>193853.53988041793</v>
      </c>
      <c r="I34" s="18">
        <f t="shared" si="8"/>
        <v>244188.10177445202</v>
      </c>
      <c r="J34" s="18">
        <f t="shared" si="8"/>
        <v>307246.49930420099</v>
      </c>
      <c r="K34" s="18">
        <f t="shared" si="8"/>
        <v>386681.93590524682</v>
      </c>
      <c r="L34" s="18">
        <f t="shared" si="8"/>
        <v>463167.6228273047</v>
      </c>
      <c r="M34" s="18">
        <f t="shared" si="8"/>
        <v>554455.17600754835</v>
      </c>
      <c r="N34" s="18">
        <f t="shared" si="8"/>
        <v>661935.81930397451</v>
      </c>
      <c r="O34" s="18">
        <f t="shared" si="8"/>
        <v>776302.80334968062</v>
      </c>
    </row>
    <row r="36" spans="2:15" x14ac:dyDescent="0.2">
      <c r="B36" s="94" t="s">
        <v>96</v>
      </c>
      <c r="C36" s="94"/>
      <c r="D36" s="95" t="s">
        <v>136</v>
      </c>
      <c r="E36" s="96">
        <f t="shared" ref="E36:O36" si="9">E10+E26+E34</f>
        <v>1058968.4219090911</v>
      </c>
      <c r="F36" s="96">
        <f t="shared" si="9"/>
        <v>1379606.1428135</v>
      </c>
      <c r="G36" s="96">
        <f t="shared" si="9"/>
        <v>1937467.1395643526</v>
      </c>
      <c r="H36" s="96">
        <f t="shared" si="9"/>
        <v>2391832.7282415158</v>
      </c>
      <c r="I36" s="96">
        <f t="shared" si="9"/>
        <v>3112072.6490399074</v>
      </c>
      <c r="J36" s="96">
        <f t="shared" si="9"/>
        <v>3749826.153446638</v>
      </c>
      <c r="K36" s="96">
        <f t="shared" si="9"/>
        <v>4523169.328291975</v>
      </c>
      <c r="L36" s="96">
        <f t="shared" si="9"/>
        <v>5640944.1129667275</v>
      </c>
      <c r="M36" s="96">
        <f t="shared" si="9"/>
        <v>6605559.0994790932</v>
      </c>
      <c r="N36" s="96">
        <f t="shared" si="9"/>
        <v>7621503.8233839879</v>
      </c>
      <c r="O36" s="96">
        <f t="shared" si="9"/>
        <v>8740877.8087320011</v>
      </c>
    </row>
  </sheetData>
  <mergeCells count="1">
    <mergeCell ref="E2:O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6C22B-5DFC-7B4B-84B4-00BBDF9C2DFF}">
  <dimension ref="B2:AE80"/>
  <sheetViews>
    <sheetView showGridLines="0" zoomScale="83" zoomScaleNormal="164" workbookViewId="0">
      <selection activeCell="B2" sqref="B2:R32"/>
    </sheetView>
  </sheetViews>
  <sheetFormatPr baseColWidth="10" defaultRowHeight="16" x14ac:dyDescent="0.2"/>
  <cols>
    <col min="1" max="1" width="6.6640625" style="8" customWidth="1"/>
    <col min="2" max="4" width="21.83203125" style="8" customWidth="1"/>
    <col min="5" max="21" width="12.1640625" style="8" customWidth="1"/>
    <col min="22" max="22" width="14" style="8" bestFit="1" customWidth="1"/>
    <col min="23" max="26" width="11.5" style="8" bestFit="1" customWidth="1"/>
    <col min="27" max="30" width="12" style="8" bestFit="1" customWidth="1"/>
    <col min="31" max="16384" width="10.83203125" style="8"/>
  </cols>
  <sheetData>
    <row r="2" spans="2:31" x14ac:dyDescent="0.2">
      <c r="B2" s="1"/>
      <c r="C2" s="1"/>
      <c r="D2" s="1"/>
      <c r="E2" s="118" t="s">
        <v>76</v>
      </c>
      <c r="F2" s="118"/>
      <c r="G2" s="119"/>
      <c r="H2" s="117" t="s">
        <v>77</v>
      </c>
      <c r="I2" s="118"/>
      <c r="J2" s="118"/>
      <c r="K2" s="118"/>
      <c r="L2" s="118"/>
      <c r="M2" s="118"/>
      <c r="N2" s="118"/>
      <c r="O2" s="118"/>
      <c r="P2" s="118"/>
      <c r="Q2" s="118"/>
      <c r="R2" s="118"/>
      <c r="AE2" s="26"/>
    </row>
    <row r="3" spans="2:31" x14ac:dyDescent="0.2">
      <c r="B3" s="2" t="s">
        <v>87</v>
      </c>
      <c r="C3" s="1"/>
      <c r="D3" s="27" t="s">
        <v>79</v>
      </c>
      <c r="E3" s="5" t="s">
        <v>80</v>
      </c>
      <c r="F3" s="5" t="s">
        <v>81</v>
      </c>
      <c r="G3" s="28" t="s">
        <v>82</v>
      </c>
      <c r="H3" s="4" t="s">
        <v>83</v>
      </c>
      <c r="I3" s="6" t="s">
        <v>84</v>
      </c>
      <c r="J3" s="5" t="s">
        <v>85</v>
      </c>
      <c r="K3" s="5" t="s">
        <v>86</v>
      </c>
      <c r="L3" s="5" t="s">
        <v>88</v>
      </c>
      <c r="M3" s="5" t="s">
        <v>117</v>
      </c>
      <c r="N3" s="5" t="s">
        <v>118</v>
      </c>
      <c r="O3" s="5" t="s">
        <v>119</v>
      </c>
      <c r="P3" s="6" t="s">
        <v>120</v>
      </c>
      <c r="Q3" s="5" t="s">
        <v>121</v>
      </c>
      <c r="R3" s="5" t="s">
        <v>122</v>
      </c>
    </row>
    <row r="4" spans="2:31" x14ac:dyDescent="0.2">
      <c r="B4" s="7"/>
      <c r="C4" s="7"/>
      <c r="D4" s="7"/>
      <c r="E4" s="7"/>
      <c r="F4" s="7"/>
      <c r="G4" s="7"/>
      <c r="H4" s="29"/>
      <c r="I4" s="7"/>
      <c r="J4" s="7"/>
      <c r="K4" s="7"/>
      <c r="L4" s="7"/>
      <c r="M4" s="7"/>
      <c r="N4" s="7"/>
      <c r="O4" s="7"/>
      <c r="P4" s="7"/>
      <c r="Q4" s="7"/>
      <c r="R4" s="7"/>
    </row>
    <row r="5" spans="2:31" x14ac:dyDescent="0.2">
      <c r="B5" s="8" t="s">
        <v>89</v>
      </c>
      <c r="H5" s="13"/>
    </row>
    <row r="6" spans="2:31" x14ac:dyDescent="0.2">
      <c r="B6" s="11" t="s">
        <v>90</v>
      </c>
      <c r="D6" s="9" t="s">
        <v>91</v>
      </c>
      <c r="E6" s="10">
        <v>126035</v>
      </c>
      <c r="F6" s="10">
        <v>218227</v>
      </c>
      <c r="G6" s="10">
        <v>603171</v>
      </c>
      <c r="H6" s="10">
        <v>899100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</row>
    <row r="7" spans="2:31" x14ac:dyDescent="0.2">
      <c r="B7" s="11" t="s">
        <v>92</v>
      </c>
      <c r="D7" s="9" t="s">
        <v>91</v>
      </c>
      <c r="E7" s="10">
        <v>10370</v>
      </c>
      <c r="F7" s="10">
        <v>14028</v>
      </c>
      <c r="G7" s="10">
        <v>30194</v>
      </c>
      <c r="H7" s="10">
        <v>99900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</row>
    <row r="8" spans="2:31" x14ac:dyDescent="0.2">
      <c r="B8" s="11" t="s">
        <v>93</v>
      </c>
      <c r="D8" s="9" t="s">
        <v>91</v>
      </c>
      <c r="E8" s="10">
        <v>21195</v>
      </c>
      <c r="F8" s="10">
        <v>6010</v>
      </c>
      <c r="G8" s="10">
        <v>8594</v>
      </c>
      <c r="H8" s="10">
        <v>0</v>
      </c>
      <c r="I8" s="10">
        <f>'Revenue Build'!F34</f>
        <v>117766.36441349999</v>
      </c>
      <c r="J8" s="10">
        <f>'Revenue Build'!G34</f>
        <v>153413.69094683276</v>
      </c>
      <c r="K8" s="10">
        <f>'Revenue Build'!H34</f>
        <v>193853.53988041793</v>
      </c>
      <c r="L8" s="10">
        <f>'Revenue Build'!I34</f>
        <v>244188.10177445202</v>
      </c>
      <c r="M8" s="10">
        <f>'Revenue Build'!J34</f>
        <v>307246.49930420099</v>
      </c>
      <c r="N8" s="10">
        <f>'Revenue Build'!K34</f>
        <v>386681.93590524682</v>
      </c>
      <c r="O8" s="10">
        <f>'Revenue Build'!L34</f>
        <v>463167.6228273047</v>
      </c>
      <c r="P8" s="10">
        <f>'Revenue Build'!M34</f>
        <v>554455.17600754835</v>
      </c>
      <c r="Q8" s="10">
        <f>'Revenue Build'!N34</f>
        <v>661935.81930397451</v>
      </c>
      <c r="R8" s="10">
        <f>'Revenue Build'!O34</f>
        <v>776302.80334968062</v>
      </c>
    </row>
    <row r="9" spans="2:31" x14ac:dyDescent="0.2">
      <c r="B9" s="30" t="s">
        <v>96</v>
      </c>
      <c r="C9" s="31"/>
      <c r="D9" s="32" t="s">
        <v>91</v>
      </c>
      <c r="E9" s="33">
        <f>SUM(E6:E8)</f>
        <v>157600</v>
      </c>
      <c r="F9" s="33">
        <f t="shared" ref="F9:G9" si="0">SUM(F6:F8)</f>
        <v>238265</v>
      </c>
      <c r="G9" s="33">
        <f t="shared" si="0"/>
        <v>641959</v>
      </c>
      <c r="H9" s="33">
        <f>SUM(H6:H8)</f>
        <v>999000</v>
      </c>
      <c r="I9" s="33">
        <f>'Revenue Build'!F36</f>
        <v>1379606.1428135</v>
      </c>
      <c r="J9" s="33">
        <f>'Revenue Build'!G36</f>
        <v>1937467.1395643526</v>
      </c>
      <c r="K9" s="33">
        <f>'Revenue Build'!H36</f>
        <v>2391832.7282415158</v>
      </c>
      <c r="L9" s="33">
        <f>'Revenue Build'!I36</f>
        <v>3112072.6490399074</v>
      </c>
      <c r="M9" s="33">
        <f>'Revenue Build'!J36</f>
        <v>3749826.153446638</v>
      </c>
      <c r="N9" s="33">
        <f>'Revenue Build'!K36</f>
        <v>4523169.328291975</v>
      </c>
      <c r="O9" s="33">
        <f>'Revenue Build'!L36</f>
        <v>5640944.1129667275</v>
      </c>
      <c r="P9" s="33">
        <f>'Revenue Build'!M36</f>
        <v>6605559.0994790932</v>
      </c>
      <c r="Q9" s="33">
        <f>'Revenue Build'!N36</f>
        <v>7621503.8233839879</v>
      </c>
      <c r="R9" s="33">
        <f>'Revenue Build'!O36</f>
        <v>8740877.8087320011</v>
      </c>
    </row>
    <row r="10" spans="2:31" x14ac:dyDescent="0.2">
      <c r="B10" s="34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2:31" x14ac:dyDescent="0.2">
      <c r="B11" s="34" t="s">
        <v>94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2:31" x14ac:dyDescent="0.2">
      <c r="B12" s="11" t="s">
        <v>46</v>
      </c>
      <c r="D12" s="9" t="s">
        <v>91</v>
      </c>
      <c r="E12" s="10">
        <v>37049</v>
      </c>
      <c r="F12" s="10">
        <v>56576</v>
      </c>
      <c r="G12" s="10">
        <v>105496</v>
      </c>
      <c r="H12" s="10">
        <f>H9*Assumptions!I6</f>
        <v>149850</v>
      </c>
      <c r="I12" s="10">
        <f>I9*Assumptions!J6</f>
        <v>193144.85999389002</v>
      </c>
      <c r="J12" s="10">
        <f>J9*Assumptions!K6</f>
        <v>251870.72814336585</v>
      </c>
      <c r="K12" s="10">
        <f>K9*Assumptions!L6</f>
        <v>287019.92738898186</v>
      </c>
      <c r="L12" s="10">
        <f>L9*Assumptions!M6</f>
        <v>373448.71788478887</v>
      </c>
      <c r="M12" s="10">
        <f>M9*Assumptions!N6</f>
        <v>449979.13841359655</v>
      </c>
      <c r="N12" s="10">
        <f>N9*Assumptions!O6</f>
        <v>542780.31939503702</v>
      </c>
      <c r="O12" s="10">
        <f>O9*Assumptions!P6</f>
        <v>676913.29355600732</v>
      </c>
      <c r="P12" s="10">
        <f>P9*Assumptions!Q6</f>
        <v>792667.0919374912</v>
      </c>
      <c r="Q12" s="10">
        <f>Q9*Assumptions!R6</f>
        <v>914580.45880607853</v>
      </c>
      <c r="R12" s="10">
        <f>R9*Assumptions!S6</f>
        <v>1048905.33704784</v>
      </c>
    </row>
    <row r="13" spans="2:31" x14ac:dyDescent="0.2">
      <c r="B13" s="11" t="s">
        <v>156</v>
      </c>
      <c r="D13" s="9" t="s">
        <v>91</v>
      </c>
      <c r="E13" s="35">
        <v>0</v>
      </c>
      <c r="F13" s="35">
        <v>0</v>
      </c>
      <c r="G13" s="35">
        <v>0</v>
      </c>
      <c r="H13" s="35">
        <f>Assumptions!I54</f>
        <v>5364.4630078375167</v>
      </c>
      <c r="I13" s="35">
        <f>Assumptions!J54</f>
        <v>6988.7316424094097</v>
      </c>
      <c r="J13" s="35">
        <f>Assumptions!K54</f>
        <v>9814.7126808149351</v>
      </c>
      <c r="K13" s="35">
        <f>Assumptions!L54</f>
        <v>12116.412469085113</v>
      </c>
      <c r="L13" s="35">
        <f>Assumptions!M54</f>
        <v>15764.963579726709</v>
      </c>
      <c r="M13" s="35">
        <f>Assumptions!N54</f>
        <v>18995.659615346878</v>
      </c>
      <c r="N13" s="35">
        <f>Assumptions!O54</f>
        <v>22913.218220486826</v>
      </c>
      <c r="O13" s="35">
        <f>Assumptions!P54</f>
        <v>28575.579212017899</v>
      </c>
      <c r="P13" s="35">
        <f>Assumptions!Q54</f>
        <v>33462.071863633057</v>
      </c>
      <c r="Q13" s="35">
        <f>Assumptions!R54</f>
        <v>38608.58782826431</v>
      </c>
      <c r="R13" s="35">
        <f>Assumptions!S54</f>
        <v>44279.049961129087</v>
      </c>
    </row>
    <row r="14" spans="2:31" x14ac:dyDescent="0.2">
      <c r="B14" s="11" t="s">
        <v>3</v>
      </c>
      <c r="D14" s="9" t="s">
        <v>91</v>
      </c>
      <c r="E14" s="10">
        <v>2095</v>
      </c>
      <c r="F14" s="10">
        <v>5230</v>
      </c>
      <c r="G14" s="10">
        <v>39508</v>
      </c>
      <c r="H14" s="10">
        <f>Assumptions!I66</f>
        <v>35744.468085106382</v>
      </c>
      <c r="I14" s="10">
        <f>Assumptions!J66</f>
        <v>35744.468085106382</v>
      </c>
      <c r="J14" s="10">
        <f>Assumptions!K66</f>
        <v>33568</v>
      </c>
      <c r="K14" s="10">
        <f>Assumptions!L66</f>
        <v>31906</v>
      </c>
      <c r="L14" s="10">
        <f>Assumptions!M66</f>
        <v>29237</v>
      </c>
      <c r="M14" s="10">
        <f>Assumptions!N66</f>
        <v>20000</v>
      </c>
      <c r="N14" s="10">
        <f>Assumptions!O66</f>
        <v>15000</v>
      </c>
      <c r="O14" s="10">
        <f>Assumptions!P66</f>
        <v>10000</v>
      </c>
      <c r="P14" s="10">
        <f>Assumptions!Q66</f>
        <v>5000</v>
      </c>
      <c r="Q14" s="10">
        <f>Assumptions!R66</f>
        <v>5000</v>
      </c>
      <c r="R14" s="10">
        <f>Assumptions!S66</f>
        <v>5000</v>
      </c>
    </row>
    <row r="15" spans="2:31" x14ac:dyDescent="0.2">
      <c r="B15" s="30" t="s">
        <v>47</v>
      </c>
      <c r="C15" s="31"/>
      <c r="D15" s="32" t="s">
        <v>91</v>
      </c>
      <c r="E15" s="33">
        <f>SUM(E12:E14)</f>
        <v>39144</v>
      </c>
      <c r="F15" s="33">
        <f t="shared" ref="F15:G15" si="1">SUM(F12:F14)</f>
        <v>61806</v>
      </c>
      <c r="G15" s="33">
        <f t="shared" si="1"/>
        <v>145004</v>
      </c>
      <c r="H15" s="33">
        <f>SUM(H12:H14)</f>
        <v>190958.93109294388</v>
      </c>
      <c r="I15" s="33">
        <f>SUM(I12:I14)</f>
        <v>235878.05972140579</v>
      </c>
      <c r="J15" s="33">
        <f t="shared" ref="J15:R15" si="2">SUM(J12:J14)</f>
        <v>295253.44082418078</v>
      </c>
      <c r="K15" s="33">
        <f t="shared" si="2"/>
        <v>331042.33985806699</v>
      </c>
      <c r="L15" s="33">
        <f t="shared" si="2"/>
        <v>418450.68146451557</v>
      </c>
      <c r="M15" s="33">
        <f t="shared" si="2"/>
        <v>488974.79802894342</v>
      </c>
      <c r="N15" s="33">
        <f t="shared" si="2"/>
        <v>580693.53761552379</v>
      </c>
      <c r="O15" s="33">
        <f t="shared" si="2"/>
        <v>715488.87276802526</v>
      </c>
      <c r="P15" s="33">
        <f t="shared" si="2"/>
        <v>831129.16380112432</v>
      </c>
      <c r="Q15" s="33">
        <f t="shared" si="2"/>
        <v>958189.04663434287</v>
      </c>
      <c r="R15" s="33">
        <f t="shared" si="2"/>
        <v>1098184.3870089692</v>
      </c>
    </row>
    <row r="16" spans="2:31" x14ac:dyDescent="0.2"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2:18" x14ac:dyDescent="0.2">
      <c r="B17" s="36" t="s">
        <v>95</v>
      </c>
      <c r="D17" s="9" t="s">
        <v>91</v>
      </c>
      <c r="E17" s="10">
        <f>E9-E15</f>
        <v>118456</v>
      </c>
      <c r="F17" s="10">
        <f>F9-F15</f>
        <v>176459</v>
      </c>
      <c r="G17" s="10">
        <f>G9-G15</f>
        <v>496955</v>
      </c>
      <c r="H17" s="10">
        <f>H9-H15</f>
        <v>808041.06890705612</v>
      </c>
      <c r="I17" s="10">
        <f t="shared" ref="I17:R17" si="3">I9-I15</f>
        <v>1143728.0830920942</v>
      </c>
      <c r="J17" s="10">
        <f t="shared" si="3"/>
        <v>1642213.6987401717</v>
      </c>
      <c r="K17" s="10">
        <f t="shared" si="3"/>
        <v>2060790.3883834488</v>
      </c>
      <c r="L17" s="10">
        <f t="shared" si="3"/>
        <v>2693621.9675753918</v>
      </c>
      <c r="M17" s="10">
        <f t="shared" si="3"/>
        <v>3260851.3554176944</v>
      </c>
      <c r="N17" s="10">
        <f t="shared" si="3"/>
        <v>3942475.7906764513</v>
      </c>
      <c r="O17" s="10">
        <f t="shared" si="3"/>
        <v>4925455.2401987026</v>
      </c>
      <c r="P17" s="10">
        <f t="shared" si="3"/>
        <v>5774429.9356779689</v>
      </c>
      <c r="Q17" s="10">
        <f t="shared" si="3"/>
        <v>6663314.7767496454</v>
      </c>
      <c r="R17" s="10">
        <f t="shared" si="3"/>
        <v>7642693.4217230324</v>
      </c>
    </row>
    <row r="18" spans="2:18" x14ac:dyDescent="0.2"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2:18" x14ac:dyDescent="0.2">
      <c r="B19" s="8" t="s">
        <v>97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2:18" x14ac:dyDescent="0.2">
      <c r="B20" s="11" t="s">
        <v>48</v>
      </c>
      <c r="D20" s="9" t="s">
        <v>91</v>
      </c>
      <c r="E20" s="10">
        <v>52996</v>
      </c>
      <c r="F20" s="10">
        <v>89503</v>
      </c>
      <c r="G20" s="10">
        <v>219818</v>
      </c>
      <c r="H20" s="10">
        <f>H9*Assumptions!I7</f>
        <v>319680</v>
      </c>
      <c r="I20" s="10">
        <f>I9*Assumptions!J7</f>
        <v>413881.84284404997</v>
      </c>
      <c r="J20" s="10">
        <f>J9*Assumptions!K7</f>
        <v>542490.79907801875</v>
      </c>
      <c r="K20" s="10">
        <f>K9*Assumptions!L7</f>
        <v>621876.50934279419</v>
      </c>
      <c r="L20" s="10">
        <f>L9*Assumptions!M7</f>
        <v>746897.43576957774</v>
      </c>
      <c r="M20" s="10">
        <f>M9*Assumptions!N7</f>
        <v>824961.7537582604</v>
      </c>
      <c r="N20" s="10">
        <f>N9*Assumptions!O7</f>
        <v>904633.86565839499</v>
      </c>
      <c r="O20" s="10">
        <f>O9*Assumptions!P7</f>
        <v>1128188.8225933455</v>
      </c>
      <c r="P20" s="10">
        <f>P9*Assumptions!Q7</f>
        <v>1321111.8198958188</v>
      </c>
      <c r="Q20" s="10">
        <f>Q9*Assumptions!R7</f>
        <v>1524300.7646767977</v>
      </c>
      <c r="R20" s="10">
        <f>R9*Assumptions!S7</f>
        <v>1748175.5617464003</v>
      </c>
    </row>
    <row r="21" spans="2:18" x14ac:dyDescent="0.2">
      <c r="B21" s="11" t="s">
        <v>49</v>
      </c>
      <c r="D21" s="9" t="s">
        <v>91</v>
      </c>
      <c r="E21" s="10">
        <v>45070</v>
      </c>
      <c r="F21" s="10">
        <v>67935</v>
      </c>
      <c r="G21" s="10">
        <v>307151</v>
      </c>
      <c r="H21" s="10">
        <f>Assumptions!I77</f>
        <v>220055.89164420488</v>
      </c>
      <c r="I21" s="10">
        <f>Assumptions!J77</f>
        <v>241045.68633534279</v>
      </c>
      <c r="J21" s="10">
        <f>Assumptions!K77</f>
        <v>283304.61133831268</v>
      </c>
      <c r="K21" s="10">
        <f>Assumptions!L77</f>
        <v>308315.50405210024</v>
      </c>
      <c r="L21" s="10">
        <f>Assumptions!M77</f>
        <v>358186.59409627295</v>
      </c>
      <c r="M21" s="10">
        <f>Assumptions!N77</f>
        <v>418112.14774765936</v>
      </c>
      <c r="N21" s="10">
        <f>Assumptions!O77</f>
        <v>476683.55951524252</v>
      </c>
      <c r="O21" s="10">
        <f>Assumptions!P77</f>
        <v>493431.81638781074</v>
      </c>
      <c r="P21" s="10">
        <f>Assumptions!Q77</f>
        <v>557577.95251822623</v>
      </c>
      <c r="Q21" s="10">
        <f>Assumptions!R77</f>
        <v>625501.88006926118</v>
      </c>
      <c r="R21" s="10">
        <f>Assumptions!S77</f>
        <v>705357.53846983809</v>
      </c>
    </row>
    <row r="22" spans="2:18" x14ac:dyDescent="0.2">
      <c r="B22" s="11" t="s">
        <v>98</v>
      </c>
      <c r="D22" s="9" t="s">
        <v>91</v>
      </c>
      <c r="E22" s="10">
        <v>53450</v>
      </c>
      <c r="F22" s="10">
        <v>128116</v>
      </c>
      <c r="G22" s="10">
        <v>241174</v>
      </c>
      <c r="H22" s="10">
        <f>H9*Assumptions!I8</f>
        <v>359640</v>
      </c>
      <c r="I22" s="10">
        <f>I9*Assumptions!J8</f>
        <v>469066.08855659002</v>
      </c>
      <c r="J22" s="10">
        <f>J9*Assumptions!K8</f>
        <v>619989.48466059286</v>
      </c>
      <c r="K22" s="10">
        <f>K9*Assumptions!L8</f>
        <v>717549.81847245467</v>
      </c>
      <c r="L22" s="10">
        <f>L9*Assumptions!M8</f>
        <v>871380.34173117415</v>
      </c>
      <c r="M22" s="10">
        <f>M9*Assumptions!N8</f>
        <v>974954.79989612591</v>
      </c>
      <c r="N22" s="10">
        <f>N9*Assumptions!O8</f>
        <v>1085560.638790074</v>
      </c>
      <c r="O22" s="10">
        <f>O9*Assumptions!P8</f>
        <v>1353826.5871120146</v>
      </c>
      <c r="P22" s="10">
        <f>P9*Assumptions!Q8</f>
        <v>1585334.1838749824</v>
      </c>
      <c r="Q22" s="10">
        <f>Q9*Assumptions!R8</f>
        <v>1829160.9176121571</v>
      </c>
      <c r="R22" s="10">
        <f>R9*Assumptions!S8</f>
        <v>2097810.67409568</v>
      </c>
    </row>
    <row r="23" spans="2:18" x14ac:dyDescent="0.2">
      <c r="B23" s="11" t="s">
        <v>4</v>
      </c>
      <c r="D23" s="9" t="s">
        <v>91</v>
      </c>
      <c r="E23" s="10">
        <v>1138</v>
      </c>
      <c r="F23" s="10">
        <v>4872</v>
      </c>
      <c r="G23" s="10">
        <v>45630</v>
      </c>
      <c r="H23" s="10">
        <f>H9*Assumptions!I9</f>
        <v>59940</v>
      </c>
      <c r="I23" s="10">
        <f>I9*Assumptions!J9</f>
        <v>68980.30714067501</v>
      </c>
      <c r="J23" s="10">
        <f>J9*Assumptions!K9</f>
        <v>77498.685582574108</v>
      </c>
      <c r="K23" s="10">
        <f>K9*Assumptions!L9</f>
        <v>71754.981847245464</v>
      </c>
      <c r="L23" s="10">
        <f>L9*Assumptions!M9</f>
        <v>93362.179471197218</v>
      </c>
      <c r="M23" s="10">
        <f>M9*Assumptions!N9</f>
        <v>112494.78460339914</v>
      </c>
      <c r="N23" s="10">
        <f>N9*Assumptions!O9</f>
        <v>135695.07984875925</v>
      </c>
      <c r="O23" s="10">
        <f>O9*Assumptions!P9</f>
        <v>169228.32338900183</v>
      </c>
      <c r="P23" s="10">
        <f>P9*Assumptions!Q9</f>
        <v>198166.7729843728</v>
      </c>
      <c r="Q23" s="10">
        <f>Q9*Assumptions!R9</f>
        <v>228645.11470151963</v>
      </c>
      <c r="R23" s="10">
        <f>R9*Assumptions!S9</f>
        <v>262226.33426196</v>
      </c>
    </row>
    <row r="24" spans="2:18" x14ac:dyDescent="0.2">
      <c r="B24" s="30" t="s">
        <v>50</v>
      </c>
      <c r="C24" s="31"/>
      <c r="D24" s="32" t="s">
        <v>91</v>
      </c>
      <c r="E24" s="33">
        <f>SUM(E20:E23)</f>
        <v>152654</v>
      </c>
      <c r="F24" s="33">
        <f t="shared" ref="F24:G24" si="4">SUM(F20:F23)</f>
        <v>290426</v>
      </c>
      <c r="G24" s="33">
        <f t="shared" si="4"/>
        <v>813773</v>
      </c>
      <c r="H24" s="33">
        <f>SUM(H20:H23)</f>
        <v>959315.89164420485</v>
      </c>
      <c r="I24" s="33">
        <f t="shared" ref="I24:R24" si="5">SUM(I20:I23)</f>
        <v>1192973.9248766578</v>
      </c>
      <c r="J24" s="33">
        <f t="shared" si="5"/>
        <v>1523283.5806594985</v>
      </c>
      <c r="K24" s="33">
        <f t="shared" si="5"/>
        <v>1719496.8137145946</v>
      </c>
      <c r="L24" s="33">
        <f t="shared" si="5"/>
        <v>2069826.5510682222</v>
      </c>
      <c r="M24" s="33">
        <f t="shared" si="5"/>
        <v>2330523.486005445</v>
      </c>
      <c r="N24" s="33">
        <f t="shared" si="5"/>
        <v>2602573.1438124706</v>
      </c>
      <c r="O24" s="33">
        <f t="shared" si="5"/>
        <v>3144675.5494821728</v>
      </c>
      <c r="P24" s="33">
        <f t="shared" si="5"/>
        <v>3662190.7292734003</v>
      </c>
      <c r="Q24" s="33">
        <f t="shared" si="5"/>
        <v>4207608.6770597352</v>
      </c>
      <c r="R24" s="33">
        <f t="shared" si="5"/>
        <v>4813570.1085738791</v>
      </c>
    </row>
    <row r="25" spans="2:18" x14ac:dyDescent="0.2"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2:18" x14ac:dyDescent="0.2">
      <c r="B26" s="34" t="s">
        <v>99</v>
      </c>
      <c r="D26" s="9" t="s">
        <v>91</v>
      </c>
      <c r="E26" s="10">
        <f>E17-E24</f>
        <v>-34198</v>
      </c>
      <c r="F26" s="10">
        <f t="shared" ref="F26:G26" si="6">F17-F24</f>
        <v>-113967</v>
      </c>
      <c r="G26" s="10">
        <f t="shared" si="6"/>
        <v>-316818</v>
      </c>
      <c r="H26" s="10">
        <f>H17-H24</f>
        <v>-151274.82273714873</v>
      </c>
      <c r="I26" s="10">
        <f t="shared" ref="I26:R26" si="7">I17-I24</f>
        <v>-49245.841784563614</v>
      </c>
      <c r="J26" s="10">
        <f t="shared" si="7"/>
        <v>118930.11808067327</v>
      </c>
      <c r="K26" s="10">
        <f t="shared" si="7"/>
        <v>341293.57466885424</v>
      </c>
      <c r="L26" s="10">
        <f t="shared" si="7"/>
        <v>623795.4165071696</v>
      </c>
      <c r="M26" s="10">
        <f t="shared" si="7"/>
        <v>930327.86941224942</v>
      </c>
      <c r="N26" s="10">
        <f t="shared" si="7"/>
        <v>1339902.6468639807</v>
      </c>
      <c r="O26" s="10">
        <f t="shared" si="7"/>
        <v>1780779.6907165297</v>
      </c>
      <c r="P26" s="10">
        <f t="shared" si="7"/>
        <v>2112239.2064045686</v>
      </c>
      <c r="Q26" s="10">
        <f t="shared" si="7"/>
        <v>2455706.0996899102</v>
      </c>
      <c r="R26" s="10">
        <f t="shared" si="7"/>
        <v>2829123.3131491533</v>
      </c>
    </row>
    <row r="27" spans="2:18" x14ac:dyDescent="0.2"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2:18" x14ac:dyDescent="0.2">
      <c r="B28" s="8" t="s">
        <v>101</v>
      </c>
      <c r="D28" s="9" t="s">
        <v>91</v>
      </c>
      <c r="E28" s="10">
        <v>3160</v>
      </c>
      <c r="F28" s="10">
        <v>-25370</v>
      </c>
      <c r="G28" s="10">
        <v>-13861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</row>
    <row r="29" spans="2:18" x14ac:dyDescent="0.2"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2:18" x14ac:dyDescent="0.2">
      <c r="B30" s="8" t="s">
        <v>100</v>
      </c>
      <c r="D30" s="9" t="s">
        <v>91</v>
      </c>
      <c r="E30" s="10">
        <f>E26+E28</f>
        <v>-31038</v>
      </c>
      <c r="F30" s="10">
        <f t="shared" ref="F30:R30" si="8">F26+F28</f>
        <v>-139337</v>
      </c>
      <c r="G30" s="10">
        <f t="shared" si="8"/>
        <v>-330679</v>
      </c>
      <c r="H30" s="10">
        <f t="shared" si="8"/>
        <v>-151274.82273714873</v>
      </c>
      <c r="I30" s="10">
        <f t="shared" si="8"/>
        <v>-49245.841784563614</v>
      </c>
      <c r="J30" s="10">
        <f t="shared" si="8"/>
        <v>118930.11808067327</v>
      </c>
      <c r="K30" s="10">
        <f t="shared" si="8"/>
        <v>341293.57466885424</v>
      </c>
      <c r="L30" s="10">
        <f t="shared" si="8"/>
        <v>623795.4165071696</v>
      </c>
      <c r="M30" s="10">
        <f t="shared" si="8"/>
        <v>930327.86941224942</v>
      </c>
      <c r="N30" s="10">
        <f>N26+N28</f>
        <v>1339902.6468639807</v>
      </c>
      <c r="O30" s="10">
        <f t="shared" si="8"/>
        <v>1780779.6907165297</v>
      </c>
      <c r="P30" s="10">
        <f t="shared" si="8"/>
        <v>2112239.2064045686</v>
      </c>
      <c r="Q30" s="10">
        <f t="shared" si="8"/>
        <v>2455706.0996899102</v>
      </c>
      <c r="R30" s="10">
        <f t="shared" si="8"/>
        <v>2829123.3131491533</v>
      </c>
    </row>
    <row r="31" spans="2:18" x14ac:dyDescent="0.2">
      <c r="B31" s="11" t="s">
        <v>51</v>
      </c>
      <c r="D31" s="9" t="s">
        <v>91</v>
      </c>
      <c r="E31" s="10">
        <v>53</v>
      </c>
      <c r="F31" s="10">
        <v>-40617</v>
      </c>
      <c r="G31" s="10">
        <v>-4318</v>
      </c>
      <c r="H31" s="10">
        <f>H30*0.21</f>
        <v>-31767.712774801232</v>
      </c>
      <c r="I31" s="10">
        <f t="shared" ref="I31:R31" si="9">I30*0.21</f>
        <v>-10341.626774758359</v>
      </c>
      <c r="J31" s="10">
        <f t="shared" si="9"/>
        <v>24975.324796941386</v>
      </c>
      <c r="K31" s="10">
        <f t="shared" si="9"/>
        <v>71671.650680459381</v>
      </c>
      <c r="L31" s="10">
        <f t="shared" si="9"/>
        <v>130997.03746650562</v>
      </c>
      <c r="M31" s="10">
        <f t="shared" si="9"/>
        <v>195368.85257657236</v>
      </c>
      <c r="N31" s="10">
        <f t="shared" si="9"/>
        <v>281379.55584143591</v>
      </c>
      <c r="O31" s="10">
        <f t="shared" si="9"/>
        <v>373963.73505047121</v>
      </c>
      <c r="P31" s="10">
        <f t="shared" si="9"/>
        <v>443570.23334495939</v>
      </c>
      <c r="Q31" s="10">
        <f t="shared" si="9"/>
        <v>515698.28093488113</v>
      </c>
      <c r="R31" s="10">
        <f t="shared" si="9"/>
        <v>594115.89576132211</v>
      </c>
    </row>
    <row r="32" spans="2:18" x14ac:dyDescent="0.2">
      <c r="B32" s="37" t="s">
        <v>111</v>
      </c>
      <c r="C32" s="38"/>
      <c r="D32" s="39" t="s">
        <v>91</v>
      </c>
      <c r="E32" s="40">
        <f>E30-E31</f>
        <v>-31091</v>
      </c>
      <c r="F32" s="40">
        <f t="shared" ref="F32:G32" si="10">F30-F31</f>
        <v>-98720</v>
      </c>
      <c r="G32" s="40">
        <f t="shared" si="10"/>
        <v>-326361</v>
      </c>
      <c r="H32" s="40">
        <f>H30-H31</f>
        <v>-119507.1099623475</v>
      </c>
      <c r="I32" s="40">
        <f t="shared" ref="I32:R32" si="11">I30-I31</f>
        <v>-38904.215009805252</v>
      </c>
      <c r="J32" s="40">
        <f t="shared" si="11"/>
        <v>93954.79328373188</v>
      </c>
      <c r="K32" s="40">
        <f t="shared" si="11"/>
        <v>269621.92398839485</v>
      </c>
      <c r="L32" s="40">
        <f t="shared" si="11"/>
        <v>492798.379040664</v>
      </c>
      <c r="M32" s="40">
        <f t="shared" si="11"/>
        <v>734959.01683567709</v>
      </c>
      <c r="N32" s="40">
        <f t="shared" si="11"/>
        <v>1058523.0910225448</v>
      </c>
      <c r="O32" s="40">
        <f t="shared" si="11"/>
        <v>1406815.9556660585</v>
      </c>
      <c r="P32" s="40">
        <f t="shared" si="11"/>
        <v>1668668.9730596093</v>
      </c>
      <c r="Q32" s="40">
        <f t="shared" si="11"/>
        <v>1940007.818755029</v>
      </c>
      <c r="R32" s="40">
        <f t="shared" si="11"/>
        <v>2235007.417387831</v>
      </c>
    </row>
    <row r="36" spans="7:9" x14ac:dyDescent="0.2">
      <c r="G36" s="41"/>
      <c r="H36" s="41"/>
      <c r="I36" s="41"/>
    </row>
    <row r="58" spans="2:5" x14ac:dyDescent="0.2">
      <c r="B58" s="34"/>
      <c r="C58" s="42"/>
      <c r="D58" s="42"/>
      <c r="E58" s="42"/>
    </row>
    <row r="59" spans="2:5" x14ac:dyDescent="0.2">
      <c r="B59" s="34"/>
      <c r="C59" s="43"/>
      <c r="D59" s="43"/>
      <c r="E59" s="43"/>
    </row>
    <row r="60" spans="2:5" x14ac:dyDescent="0.2">
      <c r="B60" s="34"/>
      <c r="C60" s="44"/>
      <c r="D60" s="44"/>
      <c r="E60" s="44"/>
    </row>
    <row r="61" spans="2:5" x14ac:dyDescent="0.2">
      <c r="B61" s="34"/>
      <c r="C61" s="45"/>
      <c r="D61" s="45"/>
      <c r="E61" s="45"/>
    </row>
    <row r="62" spans="2:5" x14ac:dyDescent="0.2">
      <c r="B62" s="34"/>
      <c r="C62" s="41"/>
      <c r="D62" s="41"/>
      <c r="E62" s="41"/>
    </row>
    <row r="63" spans="2:5" x14ac:dyDescent="0.2">
      <c r="B63" s="34"/>
      <c r="C63" s="41"/>
      <c r="D63" s="41"/>
      <c r="E63" s="41"/>
    </row>
    <row r="64" spans="2:5" x14ac:dyDescent="0.2">
      <c r="B64" s="34"/>
      <c r="C64" s="41"/>
      <c r="D64" s="41"/>
      <c r="E64" s="41"/>
    </row>
    <row r="65" spans="2:5" x14ac:dyDescent="0.2">
      <c r="B65" s="34"/>
      <c r="C65" s="41"/>
      <c r="D65" s="41"/>
      <c r="E65" s="41"/>
    </row>
    <row r="66" spans="2:5" x14ac:dyDescent="0.2">
      <c r="B66" s="34"/>
      <c r="C66" s="45"/>
      <c r="D66" s="45"/>
      <c r="E66" s="45"/>
    </row>
    <row r="67" spans="2:5" x14ac:dyDescent="0.2">
      <c r="B67" s="34"/>
      <c r="C67" s="41"/>
      <c r="D67" s="41"/>
      <c r="E67" s="41"/>
    </row>
    <row r="68" spans="2:5" x14ac:dyDescent="0.2">
      <c r="B68" s="34"/>
      <c r="C68" s="41"/>
      <c r="D68" s="41"/>
      <c r="E68" s="41"/>
    </row>
    <row r="69" spans="2:5" x14ac:dyDescent="0.2">
      <c r="B69" s="34"/>
      <c r="C69" s="41"/>
      <c r="D69" s="41"/>
      <c r="E69" s="41"/>
    </row>
    <row r="70" spans="2:5" x14ac:dyDescent="0.2">
      <c r="B70" s="34"/>
      <c r="C70" s="41"/>
      <c r="D70" s="41"/>
      <c r="E70" s="41"/>
    </row>
    <row r="71" spans="2:5" x14ac:dyDescent="0.2">
      <c r="B71" s="34"/>
      <c r="C71" s="41"/>
      <c r="D71" s="41"/>
      <c r="E71" s="41"/>
    </row>
    <row r="72" spans="2:5" x14ac:dyDescent="0.2">
      <c r="B72" s="34"/>
      <c r="C72" s="41"/>
      <c r="D72" s="41"/>
      <c r="E72" s="41"/>
    </row>
    <row r="73" spans="2:5" x14ac:dyDescent="0.2">
      <c r="B73" s="34"/>
      <c r="C73" s="41"/>
      <c r="D73" s="41"/>
      <c r="E73" s="41"/>
    </row>
    <row r="74" spans="2:5" x14ac:dyDescent="0.2">
      <c r="B74" s="34"/>
      <c r="C74" s="41"/>
      <c r="D74" s="41"/>
      <c r="E74" s="41"/>
    </row>
    <row r="75" spans="2:5" x14ac:dyDescent="0.2">
      <c r="B75" s="34"/>
      <c r="C75" s="41"/>
      <c r="D75" s="41"/>
      <c r="E75" s="41"/>
    </row>
    <row r="76" spans="2:5" x14ac:dyDescent="0.2">
      <c r="B76" s="34"/>
      <c r="C76" s="44"/>
      <c r="D76" s="44"/>
      <c r="E76" s="44"/>
    </row>
    <row r="77" spans="2:5" x14ac:dyDescent="0.2">
      <c r="B77" s="34"/>
      <c r="C77" s="45"/>
      <c r="D77" s="45"/>
      <c r="E77" s="45"/>
    </row>
    <row r="78" spans="2:5" x14ac:dyDescent="0.2">
      <c r="B78" s="34"/>
      <c r="C78" s="46"/>
      <c r="D78" s="46"/>
      <c r="E78" s="46"/>
    </row>
    <row r="79" spans="2:5" x14ac:dyDescent="0.2">
      <c r="B79" s="34"/>
      <c r="C79" s="45"/>
      <c r="D79" s="45"/>
      <c r="E79" s="45"/>
    </row>
    <row r="80" spans="2:5" x14ac:dyDescent="0.2">
      <c r="B80" s="34"/>
      <c r="C80" s="41"/>
      <c r="D80" s="41"/>
      <c r="E80" s="41"/>
    </row>
  </sheetData>
  <mergeCells count="2">
    <mergeCell ref="E2:G2"/>
    <mergeCell ref="H2:R2"/>
  </mergeCells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C2279-B6A6-7B4E-8AD0-04E628729ECF}">
  <dimension ref="B2:Q68"/>
  <sheetViews>
    <sheetView showGridLines="0" zoomScale="75" zoomScaleNormal="75" workbookViewId="0">
      <selection activeCell="Q17" sqref="Q17"/>
    </sheetView>
  </sheetViews>
  <sheetFormatPr baseColWidth="10" defaultRowHeight="16" x14ac:dyDescent="0.2"/>
  <cols>
    <col min="1" max="1" width="6.5" style="8" customWidth="1"/>
    <col min="2" max="2" width="22.1640625" style="8" customWidth="1"/>
    <col min="3" max="4" width="21.5" style="8" customWidth="1"/>
    <col min="5" max="5" width="14.1640625" style="8" bestFit="1" customWidth="1"/>
    <col min="6" max="6" width="13.83203125" style="8" customWidth="1"/>
    <col min="7" max="7" width="12.6640625" style="8" bestFit="1" customWidth="1"/>
    <col min="8" max="11" width="13.1640625" style="8" bestFit="1" customWidth="1"/>
    <col min="12" max="21" width="12.6640625" style="8" bestFit="1" customWidth="1"/>
    <col min="22" max="16384" width="10.83203125" style="8"/>
  </cols>
  <sheetData>
    <row r="2" spans="2:17" x14ac:dyDescent="0.2">
      <c r="B2" s="1"/>
      <c r="C2" s="1"/>
      <c r="D2" s="1"/>
      <c r="E2" s="118" t="s">
        <v>76</v>
      </c>
      <c r="F2" s="119"/>
      <c r="G2" s="117" t="s">
        <v>77</v>
      </c>
      <c r="H2" s="118"/>
      <c r="I2" s="118"/>
      <c r="J2" s="118"/>
      <c r="K2" s="118"/>
      <c r="L2" s="118"/>
      <c r="M2" s="118"/>
      <c r="N2" s="118"/>
      <c r="O2" s="118"/>
      <c r="P2" s="118"/>
      <c r="Q2" s="118"/>
    </row>
    <row r="3" spans="2:17" x14ac:dyDescent="0.2">
      <c r="B3" s="2" t="s">
        <v>78</v>
      </c>
      <c r="C3" s="1"/>
      <c r="D3" s="27" t="s">
        <v>79</v>
      </c>
      <c r="E3" s="5" t="s">
        <v>81</v>
      </c>
      <c r="F3" s="28" t="s">
        <v>82</v>
      </c>
      <c r="G3" s="6" t="s">
        <v>83</v>
      </c>
      <c r="H3" s="4" t="s">
        <v>84</v>
      </c>
      <c r="I3" s="4" t="s">
        <v>85</v>
      </c>
      <c r="J3" s="4" t="s">
        <v>86</v>
      </c>
      <c r="K3" s="4" t="s">
        <v>88</v>
      </c>
      <c r="L3" s="4" t="s">
        <v>117</v>
      </c>
      <c r="M3" s="4" t="s">
        <v>118</v>
      </c>
      <c r="N3" s="4" t="s">
        <v>119</v>
      </c>
      <c r="O3" s="4" t="s">
        <v>120</v>
      </c>
      <c r="P3" s="4" t="s">
        <v>121</v>
      </c>
      <c r="Q3" s="6" t="s">
        <v>122</v>
      </c>
    </row>
    <row r="4" spans="2:17" x14ac:dyDescent="0.2">
      <c r="B4" s="47" t="s">
        <v>104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2:17" x14ac:dyDescent="0.2">
      <c r="B5" s="8" t="s">
        <v>52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spans="2:17" x14ac:dyDescent="0.2">
      <c r="B6" s="11" t="s">
        <v>45</v>
      </c>
      <c r="D6" s="9" t="s">
        <v>91</v>
      </c>
      <c r="E6" s="10">
        <v>509615</v>
      </c>
      <c r="F6" s="10">
        <v>1596542</v>
      </c>
      <c r="G6" s="10">
        <f>'Balance Sheet'!F6+'Cash Flow Statement'!G62</f>
        <v>1776395.7390491846</v>
      </c>
      <c r="H6" s="10">
        <f>G6+'Cash Flow Statement'!H62</f>
        <v>1765337.434325702</v>
      </c>
      <c r="I6" s="10">
        <f>H6+'Cash Flow Statement'!I62</f>
        <v>1850795.0022631977</v>
      </c>
      <c r="J6" s="10">
        <f>I6+'Cash Flow Statement'!J62</f>
        <v>2071055.2551905226</v>
      </c>
      <c r="K6" s="10">
        <f>J6+'Cash Flow Statement'!K62</f>
        <v>2505071.3920865147</v>
      </c>
      <c r="L6" s="10">
        <f>K6+'Cash Flow Statement'!L62</f>
        <v>3123781.9221787187</v>
      </c>
      <c r="M6" s="10">
        <f>L6+'Cash Flow Statement'!M62</f>
        <v>3983926.4866180513</v>
      </c>
      <c r="N6" s="10">
        <f>M6+'Cash Flow Statement'!N62</f>
        <v>5216021.4990640972</v>
      </c>
      <c r="O6" s="10">
        <f>N6+'Cash Flow Statement'!O62</f>
        <v>6671096.925910579</v>
      </c>
      <c r="P6" s="10">
        <f>O6+'Cash Flow Statement'!P62</f>
        <v>8353752.2728011496</v>
      </c>
      <c r="Q6" s="10">
        <f>P6+'Cash Flow Statement'!Q62</f>
        <v>10315188.509752497</v>
      </c>
    </row>
    <row r="7" spans="2:17" x14ac:dyDescent="0.2">
      <c r="B7" s="11" t="s">
        <v>53</v>
      </c>
      <c r="C7" s="10"/>
      <c r="D7" s="9" t="s">
        <v>91</v>
      </c>
      <c r="E7" s="10">
        <v>655314</v>
      </c>
      <c r="F7" s="10">
        <v>1108493</v>
      </c>
      <c r="G7" s="10">
        <f t="shared" ref="G7" si="0">F7</f>
        <v>1108493</v>
      </c>
      <c r="H7" s="10">
        <v>1108493</v>
      </c>
      <c r="I7" s="10">
        <v>1108493</v>
      </c>
      <c r="J7" s="10">
        <v>1108493</v>
      </c>
      <c r="K7" s="10">
        <v>1108493</v>
      </c>
      <c r="L7" s="10">
        <v>1108493</v>
      </c>
      <c r="M7" s="10">
        <v>1108493</v>
      </c>
      <c r="N7" s="10">
        <v>1108493</v>
      </c>
      <c r="O7" s="10">
        <v>1108493</v>
      </c>
      <c r="P7" s="10">
        <v>1108493</v>
      </c>
      <c r="Q7" s="10">
        <v>1108493</v>
      </c>
    </row>
    <row r="8" spans="2:17" x14ac:dyDescent="0.2">
      <c r="B8" s="11" t="s">
        <v>54</v>
      </c>
      <c r="D8" s="9" t="s">
        <v>91</v>
      </c>
      <c r="E8" s="10">
        <v>18222</v>
      </c>
      <c r="F8" s="10">
        <v>24045</v>
      </c>
      <c r="G8" s="10">
        <f>'Income Statement'!H9*Assumptions!$J$14</f>
        <v>56909.80039990411</v>
      </c>
      <c r="H8" s="10">
        <f>'Income Statement'!I9*Assumptions!$J$14</f>
        <v>78591.701919917803</v>
      </c>
      <c r="I8" s="10">
        <f>'Income Statement'!J9*Assumptions!$J$14</f>
        <v>110371.23943341387</v>
      </c>
      <c r="J8" s="10">
        <f>'Income Statement'!K9*Assumptions!$J$14</f>
        <v>136254.97813231507</v>
      </c>
      <c r="K8" s="10">
        <f>'Income Statement'!L9*Assumptions!$J$14</f>
        <v>177284.71800486682</v>
      </c>
      <c r="L8" s="10">
        <f>'Income Statement'!M9*Assumptions!$J$14</f>
        <v>213615.47340038876</v>
      </c>
      <c r="M8" s="10">
        <f>'Income Statement'!N9*Assumptions!$J$14</f>
        <v>257670.33398204666</v>
      </c>
      <c r="N8" s="10">
        <f>'Income Statement'!O9*Assumptions!$J$14</f>
        <v>321346.34988583642</v>
      </c>
      <c r="O8" s="10">
        <f>'Income Statement'!P9*Assumptions!$J$14</f>
        <v>376297.34722835384</v>
      </c>
      <c r="P8" s="10">
        <f>'Income Statement'!Q9*Assumptions!$J$14</f>
        <v>434172.43376965838</v>
      </c>
      <c r="Q8" s="10">
        <f>'Income Statement'!R9*Assumptions!$J$14</f>
        <v>497939.55096585525</v>
      </c>
    </row>
    <row r="9" spans="2:17" x14ac:dyDescent="0.2">
      <c r="B9" s="11" t="s">
        <v>55</v>
      </c>
      <c r="D9" s="9" t="s">
        <v>91</v>
      </c>
      <c r="E9" s="10">
        <v>147093</v>
      </c>
      <c r="F9" s="10">
        <v>256392</v>
      </c>
      <c r="G9" s="10">
        <f>Assumptions!I88</f>
        <v>235044.71593021759</v>
      </c>
      <c r="H9" s="10">
        <f>Assumptions!J88</f>
        <v>308047.55223533587</v>
      </c>
      <c r="I9" s="10">
        <f>Assumptions!K88</f>
        <v>401292.10246845923</v>
      </c>
      <c r="J9" s="10">
        <f>Assumptions!L88</f>
        <v>507072.70067914523</v>
      </c>
      <c r="K9" s="10">
        <f>Assumptions!M88</f>
        <v>638735.40981952997</v>
      </c>
      <c r="L9" s="10">
        <f>Assumptions!N88</f>
        <v>803680.5119602154</v>
      </c>
      <c r="M9" s="10">
        <f>Assumptions!O88</f>
        <v>1011463.8797117998</v>
      </c>
      <c r="N9" s="10">
        <f>Assumptions!P88</f>
        <v>1211531.4351187937</v>
      </c>
      <c r="O9" s="10">
        <f>Assumptions!Q88</f>
        <v>1450316.9953827525</v>
      </c>
      <c r="P9" s="10">
        <f>Assumptions!R88</f>
        <v>1731459.6564900519</v>
      </c>
      <c r="Q9" s="10">
        <f>Assumptions!S88</f>
        <v>2030615.2742020548</v>
      </c>
    </row>
    <row r="10" spans="2:17" x14ac:dyDescent="0.2">
      <c r="B10" s="11" t="s">
        <v>14</v>
      </c>
      <c r="D10" s="9" t="s">
        <v>91</v>
      </c>
      <c r="E10" s="10">
        <v>67195</v>
      </c>
      <c r="F10" s="10">
        <v>151258</v>
      </c>
      <c r="G10" s="10">
        <f>Assumptions!$J$16*'Income Statement'!H22</f>
        <v>93081.544669505369</v>
      </c>
      <c r="H10" s="10">
        <f>Assumptions!$J$16*'Income Statement'!I22</f>
        <v>121403.05882251807</v>
      </c>
      <c r="I10" s="10">
        <f>Assumptions!$J$16*'Income Statement'!J22</f>
        <v>160464.85071476639</v>
      </c>
      <c r="J10" s="10">
        <f>Assumptions!$J$16*'Income Statement'!K22</f>
        <v>185715.28606589718</v>
      </c>
      <c r="K10" s="10">
        <f>Assumptions!$J$16*'Income Statement'!L22</f>
        <v>225529.49672722485</v>
      </c>
      <c r="L10" s="10">
        <f>Assumptions!$J$16*'Income Statement'!M22</f>
        <v>252336.4997143808</v>
      </c>
      <c r="M10" s="10">
        <f>Assumptions!$J$16*'Income Statement'!N22</f>
        <v>280963.35527470545</v>
      </c>
      <c r="N10" s="10">
        <f>Assumptions!$J$16*'Income Statement'!O22</f>
        <v>350395.5898760733</v>
      </c>
      <c r="O10" s="10">
        <f>Assumptions!$J$16*'Income Statement'!P22</f>
        <v>410314.07700048108</v>
      </c>
      <c r="P10" s="10">
        <f>Assumptions!$J$16*'Income Statement'!Q22</f>
        <v>473420.98671012523</v>
      </c>
      <c r="Q10" s="10">
        <f>Assumptions!$J$16*'Income Statement'!R22</f>
        <v>542952.55802747805</v>
      </c>
    </row>
    <row r="11" spans="2:17" x14ac:dyDescent="0.2">
      <c r="B11" s="11" t="s">
        <v>56</v>
      </c>
      <c r="D11" s="9" t="s">
        <v>91</v>
      </c>
      <c r="E11" s="10">
        <v>2208598</v>
      </c>
      <c r="F11" s="10">
        <v>3142660</v>
      </c>
      <c r="G11" s="10">
        <f>Assumptions!I26*(Assumptions!I39+Assumptions!I43)</f>
        <v>2995247.7</v>
      </c>
      <c r="H11" s="10">
        <f>Assumptions!J26*(Assumptions!J39+Assumptions!J43)</f>
        <v>3925545.4804499997</v>
      </c>
      <c r="I11" s="10">
        <f>Assumptions!K26*(Assumptions!K39+Assumptions!K43)</f>
        <v>5113789.6982277595</v>
      </c>
      <c r="J11" s="10">
        <f>Assumptions!L26*(Assumptions!L39+Assumptions!L43)</f>
        <v>6461784.662680598</v>
      </c>
      <c r="K11" s="10">
        <f>Assumptions!M26*(Assumptions!M39+Assumptions!M43)</f>
        <v>8139603.392481734</v>
      </c>
      <c r="L11" s="10">
        <f>Assumptions!N26*(Assumptions!N39+Assumptions!N43)</f>
        <v>10241549.9768067</v>
      </c>
      <c r="M11" s="10">
        <f>Assumptions!O26*(Assumptions!O39+Assumptions!O43)</f>
        <v>12889397.863508228</v>
      </c>
      <c r="N11" s="10">
        <f>Assumptions!P26*(Assumptions!P39+Assumptions!P43)</f>
        <v>15438920.760910157</v>
      </c>
      <c r="O11" s="10">
        <f>Assumptions!Q26*(Assumptions!Q39+Assumptions!Q43)</f>
        <v>18481839.200251613</v>
      </c>
      <c r="P11" s="10">
        <f>Assumptions!R26*(Assumptions!R39+Assumptions!R43)</f>
        <v>22064527.310132485</v>
      </c>
      <c r="Q11" s="10">
        <f>Assumptions!S26*(Assumptions!S39+Assumptions!S43)</f>
        <v>25876760.111656021</v>
      </c>
    </row>
    <row r="12" spans="2:17" x14ac:dyDescent="0.2">
      <c r="B12" s="30" t="s">
        <v>57</v>
      </c>
      <c r="C12" s="31"/>
      <c r="D12" s="32" t="s">
        <v>91</v>
      </c>
      <c r="E12" s="15">
        <f>SUM(E6:E11)</f>
        <v>3606037</v>
      </c>
      <c r="F12" s="15">
        <f>SUM(F6:F11)</f>
        <v>6279390</v>
      </c>
      <c r="G12" s="15">
        <f t="shared" ref="G12:Q12" si="1">SUM(G6:G11)</f>
        <v>6265172.5000488115</v>
      </c>
      <c r="H12" s="15">
        <f t="shared" si="1"/>
        <v>7307418.2277534734</v>
      </c>
      <c r="I12" s="15">
        <f t="shared" si="1"/>
        <v>8745205.8931075968</v>
      </c>
      <c r="J12" s="15">
        <f t="shared" si="1"/>
        <v>10470375.882748477</v>
      </c>
      <c r="K12" s="15">
        <f t="shared" si="1"/>
        <v>12794717.409119871</v>
      </c>
      <c r="L12" s="15">
        <f t="shared" si="1"/>
        <v>15743457.384060405</v>
      </c>
      <c r="M12" s="15">
        <f t="shared" si="1"/>
        <v>19531914.919094831</v>
      </c>
      <c r="N12" s="15">
        <f t="shared" si="1"/>
        <v>23646708.634854957</v>
      </c>
      <c r="O12" s="15">
        <f t="shared" si="1"/>
        <v>28498357.545773778</v>
      </c>
      <c r="P12" s="15">
        <f t="shared" si="1"/>
        <v>34165825.659903467</v>
      </c>
      <c r="Q12" s="15">
        <f t="shared" si="1"/>
        <v>40371949.004603907</v>
      </c>
    </row>
    <row r="13" spans="2:17" x14ac:dyDescent="0.2">
      <c r="E13" s="10"/>
      <c r="F13" s="10"/>
      <c r="G13" s="10"/>
      <c r="H13" s="48"/>
      <c r="I13" s="10"/>
      <c r="J13" s="10"/>
      <c r="K13" s="10"/>
      <c r="L13" s="10"/>
      <c r="M13" s="10"/>
      <c r="N13" s="10"/>
      <c r="O13" s="10"/>
      <c r="P13" s="10"/>
      <c r="Q13" s="10"/>
    </row>
    <row r="14" spans="2:17" x14ac:dyDescent="0.2">
      <c r="B14" s="34" t="s">
        <v>58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</row>
    <row r="15" spans="2:17" x14ac:dyDescent="0.2">
      <c r="B15" s="11" t="s">
        <v>59</v>
      </c>
      <c r="D15" s="9" t="s">
        <v>91</v>
      </c>
      <c r="E15" s="10">
        <v>71925</v>
      </c>
      <c r="F15" s="10">
        <v>76445</v>
      </c>
      <c r="G15" s="10">
        <f>F15</f>
        <v>76445</v>
      </c>
      <c r="H15" s="10">
        <v>76445</v>
      </c>
      <c r="I15" s="10">
        <v>76445</v>
      </c>
      <c r="J15" s="10">
        <v>76445</v>
      </c>
      <c r="K15" s="10">
        <v>76445</v>
      </c>
      <c r="L15" s="10">
        <v>76445</v>
      </c>
      <c r="M15" s="10">
        <v>76445</v>
      </c>
      <c r="N15" s="10">
        <v>76445</v>
      </c>
      <c r="O15" s="10">
        <v>76445</v>
      </c>
      <c r="P15" s="10">
        <v>76445</v>
      </c>
      <c r="Q15" s="10">
        <v>76445</v>
      </c>
    </row>
    <row r="16" spans="2:17" x14ac:dyDescent="0.2">
      <c r="B16" s="11" t="s">
        <v>60</v>
      </c>
      <c r="D16" s="9" t="s">
        <v>91</v>
      </c>
      <c r="E16" s="10">
        <v>48902</v>
      </c>
      <c r="F16" s="10">
        <v>56985</v>
      </c>
      <c r="G16" s="10">
        <f>Assumptions!I62</f>
        <v>61610.536992162481</v>
      </c>
      <c r="H16" s="10">
        <f>Assumptions!J62</f>
        <v>68417.866777888063</v>
      </c>
      <c r="I16" s="10">
        <f>Assumptions!K62</f>
        <v>77977.825492716656</v>
      </c>
      <c r="J16" s="10">
        <f>Assumptions!L62</f>
        <v>89779.74030604669</v>
      </c>
      <c r="K16" s="10">
        <f>Assumptions!M62</f>
        <v>105135.50321671905</v>
      </c>
      <c r="L16" s="10">
        <f>Assumptions!N62</f>
        <v>123638.10513583856</v>
      </c>
      <c r="M16" s="10">
        <f>Assumptions!O62</f>
        <v>145956.58019827149</v>
      </c>
      <c r="N16" s="10">
        <f>Assumptions!P62</f>
        <v>173790.44211592086</v>
      </c>
      <c r="O16" s="10">
        <f>Assumptions!Q62</f>
        <v>206383.96124707873</v>
      </c>
      <c r="P16" s="10">
        <f>Assumptions!R62</f>
        <v>243990.41165265432</v>
      </c>
      <c r="Q16" s="10">
        <f>Assumptions!S62</f>
        <v>287120.13977884525</v>
      </c>
    </row>
    <row r="17" spans="2:17" x14ac:dyDescent="0.2">
      <c r="B17" s="11" t="s">
        <v>61</v>
      </c>
      <c r="D17" s="9" t="s">
        <v>91</v>
      </c>
      <c r="E17" s="10">
        <v>417341</v>
      </c>
      <c r="F17" s="10">
        <v>432583</v>
      </c>
      <c r="G17" s="10">
        <f>F17-'Cash Flow Statement'!G9</f>
        <v>353508</v>
      </c>
      <c r="H17" s="10">
        <f>G17-'Cash Flow Statement'!H9</f>
        <v>275361</v>
      </c>
      <c r="I17" s="10">
        <f>H17-'Cash Flow Statement'!I9</f>
        <v>215936</v>
      </c>
      <c r="J17" s="10">
        <f>I17-'Cash Flow Statement'!J9</f>
        <v>158173</v>
      </c>
      <c r="K17" s="10">
        <f>J17-'Cash Flow Statement'!K9</f>
        <v>103079</v>
      </c>
      <c r="L17" s="10">
        <f>K17-'Cash Flow Statement'!L9</f>
        <v>57222</v>
      </c>
      <c r="M17" s="10">
        <f>L17-'Cash Flow Statement'!M9</f>
        <v>42222</v>
      </c>
      <c r="N17" s="10">
        <f>M17-'Cash Flow Statement'!N9</f>
        <v>32222</v>
      </c>
      <c r="O17" s="10">
        <f>N17-'Cash Flow Statement'!O9</f>
        <v>27222</v>
      </c>
      <c r="P17" s="10">
        <f>O17-'Cash Flow Statement'!P9</f>
        <v>22222</v>
      </c>
      <c r="Q17" s="10">
        <f>P17-'Cash Flow Statement'!Q9</f>
        <v>17222</v>
      </c>
    </row>
    <row r="18" spans="2:17" x14ac:dyDescent="0.2">
      <c r="B18" s="11" t="s">
        <v>62</v>
      </c>
      <c r="C18" s="10"/>
      <c r="D18" s="9" t="s">
        <v>91</v>
      </c>
      <c r="E18" s="10">
        <v>1772043</v>
      </c>
      <c r="F18" s="10">
        <v>2362893</v>
      </c>
      <c r="G18" s="10">
        <v>2362893</v>
      </c>
      <c r="H18" s="10">
        <v>2362893</v>
      </c>
      <c r="I18" s="10">
        <v>2362893</v>
      </c>
      <c r="J18" s="10">
        <v>2362893</v>
      </c>
      <c r="K18" s="10">
        <v>2362893</v>
      </c>
      <c r="L18" s="10">
        <v>2362893</v>
      </c>
      <c r="M18" s="10">
        <v>2362893</v>
      </c>
      <c r="N18" s="10">
        <v>2362893</v>
      </c>
      <c r="O18" s="10">
        <v>2362893</v>
      </c>
      <c r="P18" s="10">
        <v>2362893</v>
      </c>
      <c r="Q18" s="10">
        <v>2362893</v>
      </c>
    </row>
    <row r="19" spans="2:17" x14ac:dyDescent="0.2">
      <c r="B19" s="11" t="s">
        <v>15</v>
      </c>
      <c r="D19" s="9" t="s">
        <v>91</v>
      </c>
      <c r="E19" s="10">
        <v>52925</v>
      </c>
      <c r="F19" s="10">
        <v>47730</v>
      </c>
      <c r="G19" s="10">
        <f>'Revenue Build'!E36*Assumptions!$I$19</f>
        <v>74127.789533636387</v>
      </c>
      <c r="H19" s="10">
        <f>'Revenue Build'!F36*Assumptions!$I$19</f>
        <v>96572.429996945008</v>
      </c>
      <c r="I19" s="10">
        <f>'Revenue Build'!G36*Assumptions!$I$19</f>
        <v>135622.69976950469</v>
      </c>
      <c r="J19" s="10">
        <f>'Revenue Build'!H36*Assumptions!$I$19</f>
        <v>167428.29097690614</v>
      </c>
      <c r="K19" s="10">
        <f>'Revenue Build'!I36*Assumptions!$I$19</f>
        <v>217845.08543279354</v>
      </c>
      <c r="L19" s="10">
        <f>'Revenue Build'!J36*Assumptions!$I$19</f>
        <v>262487.83074126468</v>
      </c>
      <c r="M19" s="10">
        <f>'Revenue Build'!K36*Assumptions!$I$19</f>
        <v>316621.85298043827</v>
      </c>
      <c r="N19" s="10">
        <f>'Revenue Build'!L36*Assumptions!$I$19</f>
        <v>394866.08790767094</v>
      </c>
      <c r="O19" s="10">
        <f>'Revenue Build'!M36*Assumptions!$I$19</f>
        <v>462389.13696353656</v>
      </c>
      <c r="P19" s="10">
        <f>'Revenue Build'!N36*Assumptions!$I$19</f>
        <v>533505.26763687923</v>
      </c>
      <c r="Q19" s="10">
        <f>'Revenue Build'!O36*Assumptions!$I$19</f>
        <v>611861.44661124016</v>
      </c>
    </row>
    <row r="20" spans="2:17" x14ac:dyDescent="0.2">
      <c r="B20" s="30" t="s">
        <v>105</v>
      </c>
      <c r="C20" s="31"/>
      <c r="D20" s="32" t="s">
        <v>91</v>
      </c>
      <c r="E20" s="15">
        <f>SUM(E15:E19)</f>
        <v>2363136</v>
      </c>
      <c r="F20" s="15">
        <f>SUM(F15:F19)</f>
        <v>2976636</v>
      </c>
      <c r="G20" s="15">
        <f t="shared" ref="G20:Q20" si="2">SUM(G15:G19)</f>
        <v>2928584.326525799</v>
      </c>
      <c r="H20" s="15">
        <f t="shared" si="2"/>
        <v>2879689.296774833</v>
      </c>
      <c r="I20" s="15">
        <f t="shared" si="2"/>
        <v>2868874.5252622212</v>
      </c>
      <c r="J20" s="15">
        <f t="shared" si="2"/>
        <v>2854719.031282953</v>
      </c>
      <c r="K20" s="15">
        <f t="shared" si="2"/>
        <v>2865397.5886495127</v>
      </c>
      <c r="L20" s="15">
        <f t="shared" si="2"/>
        <v>2882685.9358771034</v>
      </c>
      <c r="M20" s="15">
        <f t="shared" si="2"/>
        <v>2944138.4331787098</v>
      </c>
      <c r="N20" s="15">
        <f t="shared" si="2"/>
        <v>3040216.5300235916</v>
      </c>
      <c r="O20" s="15">
        <f t="shared" si="2"/>
        <v>3135333.0982106151</v>
      </c>
      <c r="P20" s="15">
        <f t="shared" si="2"/>
        <v>3239055.6792895338</v>
      </c>
      <c r="Q20" s="15">
        <f t="shared" si="2"/>
        <v>3355541.5863900851</v>
      </c>
    </row>
    <row r="21" spans="2:17" x14ac:dyDescent="0.2"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</row>
    <row r="22" spans="2:17" x14ac:dyDescent="0.2">
      <c r="B22" s="49" t="s">
        <v>63</v>
      </c>
      <c r="C22" s="38"/>
      <c r="D22" s="39" t="s">
        <v>91</v>
      </c>
      <c r="E22" s="50">
        <f t="shared" ref="E22:Q22" si="3">E12+E20</f>
        <v>5969173</v>
      </c>
      <c r="F22" s="50">
        <f t="shared" si="3"/>
        <v>9256026</v>
      </c>
      <c r="G22" s="50">
        <f t="shared" si="3"/>
        <v>9193756.8265746105</v>
      </c>
      <c r="H22" s="50">
        <f t="shared" si="3"/>
        <v>10187107.524528306</v>
      </c>
      <c r="I22" s="50">
        <f t="shared" si="3"/>
        <v>11614080.418369818</v>
      </c>
      <c r="J22" s="50">
        <f t="shared" si="3"/>
        <v>13325094.914031431</v>
      </c>
      <c r="K22" s="50">
        <f t="shared" si="3"/>
        <v>15660114.997769384</v>
      </c>
      <c r="L22" s="50">
        <f t="shared" si="3"/>
        <v>18626143.319937509</v>
      </c>
      <c r="M22" s="50">
        <f t="shared" si="3"/>
        <v>22476053.352273539</v>
      </c>
      <c r="N22" s="50">
        <f t="shared" si="3"/>
        <v>26686925.164878547</v>
      </c>
      <c r="O22" s="50">
        <f t="shared" si="3"/>
        <v>31633690.643984392</v>
      </c>
      <c r="P22" s="50">
        <f t="shared" si="3"/>
        <v>37404881.339193001</v>
      </c>
      <c r="Q22" s="50">
        <f t="shared" si="3"/>
        <v>43727490.590993993</v>
      </c>
    </row>
    <row r="23" spans="2:17" x14ac:dyDescent="0.2">
      <c r="B23" s="34"/>
      <c r="D23" s="9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</row>
    <row r="24" spans="2:17" x14ac:dyDescent="0.2"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</row>
    <row r="25" spans="2:17" x14ac:dyDescent="0.2">
      <c r="B25" s="47" t="s">
        <v>106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2:17" x14ac:dyDescent="0.2">
      <c r="B26" s="8" t="s">
        <v>64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2:17" x14ac:dyDescent="0.2">
      <c r="B27" s="11" t="s">
        <v>16</v>
      </c>
      <c r="D27" s="9" t="s">
        <v>91</v>
      </c>
      <c r="E27" s="10">
        <v>11904</v>
      </c>
      <c r="F27" s="10">
        <v>9948</v>
      </c>
      <c r="G27" s="10">
        <f>'Income Statement'!H15*Assumptions!$J$22</f>
        <v>24939.968149234373</v>
      </c>
      <c r="H27" s="10">
        <f>'Income Statement'!I15*Assumptions!$J$22</f>
        <v>30806.578476770908</v>
      </c>
      <c r="I27" s="10">
        <f>'Income Statement'!J15*Assumptions!$J$22</f>
        <v>38561.230773348296</v>
      </c>
      <c r="J27" s="10">
        <f>'Income Statement'!K15*Assumptions!$J$22</f>
        <v>43235.398129086432</v>
      </c>
      <c r="K27" s="10">
        <f>'Income Statement'!L15*Assumptions!$J$22</f>
        <v>54651.262488848639</v>
      </c>
      <c r="L27" s="10">
        <f>'Income Statement'!M15*Assumptions!$J$22</f>
        <v>63861.98235831441</v>
      </c>
      <c r="M27" s="10">
        <f>'Income Statement'!N15*Assumptions!$J$22</f>
        <v>75840.801211588565</v>
      </c>
      <c r="N27" s="10">
        <f>'Income Statement'!O15*Assumptions!$J$22</f>
        <v>93445.588513903858</v>
      </c>
      <c r="O27" s="10">
        <f>'Income Statement'!P15*Assumptions!$J$22</f>
        <v>108548.65365271083</v>
      </c>
      <c r="P27" s="10">
        <f>'Income Statement'!Q15*Assumptions!$J$22</f>
        <v>125143.16124012272</v>
      </c>
      <c r="Q27" s="10">
        <f>'Income Statement'!R15*Assumptions!$J$22</f>
        <v>143427.08915070066</v>
      </c>
    </row>
    <row r="28" spans="2:17" x14ac:dyDescent="0.2">
      <c r="B28" s="11" t="s">
        <v>65</v>
      </c>
      <c r="D28" s="9" t="s">
        <v>91</v>
      </c>
      <c r="E28" s="10">
        <v>20287</v>
      </c>
      <c r="F28" s="10">
        <v>29004</v>
      </c>
      <c r="G28" s="10">
        <f>'Income Statement'!H24*Assumptions!$J$23</f>
        <v>111646.33345588509</v>
      </c>
      <c r="H28" s="10">
        <f>'Income Statement'!I24*Assumptions!$J$23</f>
        <v>138839.73546260592</v>
      </c>
      <c r="I28" s="10">
        <f>'Income Statement'!J24*Assumptions!$J$23</f>
        <v>177281.56916351899</v>
      </c>
      <c r="J28" s="10">
        <f>'Income Statement'!K24*Assumptions!$J$23</f>
        <v>200117.10043839473</v>
      </c>
      <c r="K28" s="10">
        <f>'Income Statement'!L24*Assumptions!$J$23</f>
        <v>240888.89523172248</v>
      </c>
      <c r="L28" s="10">
        <f>'Income Statement'!M24*Assumptions!$J$23</f>
        <v>271229.11703190848</v>
      </c>
      <c r="M28" s="10">
        <f>'Income Statement'!N24*Assumptions!$J$23</f>
        <v>302890.58232883445</v>
      </c>
      <c r="N28" s="10">
        <f>'Income Statement'!O24*Assumptions!$J$23</f>
        <v>365981.11014955398</v>
      </c>
      <c r="O28" s="10">
        <f>'Income Statement'!P24*Assumptions!$J$23</f>
        <v>426210.14714843535</v>
      </c>
      <c r="P28" s="10">
        <f>'Income Statement'!Q24*Assumptions!$J$23</f>
        <v>489686.54173521686</v>
      </c>
      <c r="Q28" s="10">
        <f>'Income Statement'!R24*Assumptions!$J$23</f>
        <v>560209.05953514634</v>
      </c>
    </row>
    <row r="29" spans="2:17" x14ac:dyDescent="0.2">
      <c r="B29" s="11" t="s">
        <v>20</v>
      </c>
      <c r="C29" s="10"/>
      <c r="D29" s="9" t="s">
        <v>91</v>
      </c>
      <c r="E29" s="10">
        <v>12848</v>
      </c>
      <c r="F29" s="10">
        <v>31868</v>
      </c>
      <c r="G29" s="10">
        <f>Assumptions!I24*'Income Statement'!H9</f>
        <v>51730.693696945076</v>
      </c>
      <c r="H29" s="10">
        <f>Assumptions!J24*'Income Statement'!I9</f>
        <v>71439.422218527558</v>
      </c>
      <c r="I29" s="10">
        <f>Assumptions!K24*'Income Statement'!J9</f>
        <v>100326.84599069055</v>
      </c>
      <c r="J29" s="10">
        <f>Assumptions!L24*'Income Statement'!K9</f>
        <v>123855.02126025058</v>
      </c>
      <c r="K29" s="10">
        <f>Assumptions!M24*'Income Statement'!L9</f>
        <v>161150.82779792181</v>
      </c>
      <c r="L29" s="10">
        <f>Assumptions!N24*'Income Statement'!M9</f>
        <v>194175.28344418597</v>
      </c>
      <c r="M29" s="10">
        <f>Assumptions!O24*'Income Statement'!N9</f>
        <v>234220.90796925823</v>
      </c>
      <c r="N29" s="10">
        <f>Assumptions!P24*'Income Statement'!O9</f>
        <v>292102.05412359093</v>
      </c>
      <c r="O29" s="10">
        <f>Assumptions!Q24*'Income Statement'!P9</f>
        <v>342052.20667890023</v>
      </c>
      <c r="P29" s="10">
        <f>Assumptions!R24*'Income Statement'!Q9</f>
        <v>394660.34013771056</v>
      </c>
      <c r="Q29" s="10">
        <f>Assumptions!S24*'Income Statement'!R9</f>
        <v>452624.29686280241</v>
      </c>
    </row>
    <row r="30" spans="2:17" x14ac:dyDescent="0.2">
      <c r="B30" s="11" t="s">
        <v>17</v>
      </c>
      <c r="D30" s="9" t="s">
        <v>91</v>
      </c>
      <c r="E30" s="10">
        <v>72022</v>
      </c>
      <c r="F30" s="10">
        <v>120080</v>
      </c>
      <c r="G30" s="10">
        <f>'Income Statement'!H24*Assumptions!$J$25</f>
        <v>189727.26944224196</v>
      </c>
      <c r="H30" s="10">
        <f>'Income Statement'!I24*Assumptions!$J$25</f>
        <v>235938.63841316247</v>
      </c>
      <c r="I30" s="10">
        <f>'Income Statement'!J24*Assumptions!$J$25</f>
        <v>301265.13785713085</v>
      </c>
      <c r="J30" s="10">
        <f>'Income Statement'!K24*Assumptions!$J$25</f>
        <v>340070.9173300144</v>
      </c>
      <c r="K30" s="10">
        <f>'Income Statement'!L24*Assumptions!$J$25</f>
        <v>409356.85854235193</v>
      </c>
      <c r="L30" s="10">
        <f>'Income Statement'!M24*Assumptions!$J$25</f>
        <v>460915.80596354773</v>
      </c>
      <c r="M30" s="10">
        <f>'Income Statement'!N24*Assumptions!$J$25</f>
        <v>514720.02121527062</v>
      </c>
      <c r="N30" s="10">
        <f>'Income Statement'!O24*Assumptions!$J$25</f>
        <v>621933.51583329705</v>
      </c>
      <c r="O30" s="10">
        <f>'Income Statement'!P24*Assumptions!$J$25</f>
        <v>724284.30853038747</v>
      </c>
      <c r="P30" s="10">
        <f>'Income Statement'!Q24*Assumptions!$J$25</f>
        <v>832153.52954468084</v>
      </c>
      <c r="Q30" s="10">
        <f>'Income Statement'!R24*Assumptions!$J$25</f>
        <v>951996.64773950609</v>
      </c>
    </row>
    <row r="31" spans="2:17" x14ac:dyDescent="0.2">
      <c r="B31" s="11" t="s">
        <v>66</v>
      </c>
      <c r="D31" s="9" t="s">
        <v>91</v>
      </c>
      <c r="E31" s="10">
        <v>0</v>
      </c>
      <c r="F31" s="10">
        <v>75097</v>
      </c>
      <c r="G31" s="10">
        <v>75097</v>
      </c>
      <c r="H31" s="10">
        <v>75097</v>
      </c>
      <c r="I31" s="10">
        <v>75097</v>
      </c>
      <c r="J31" s="10">
        <v>75097</v>
      </c>
      <c r="K31" s="10">
        <v>75097</v>
      </c>
      <c r="L31" s="10">
        <v>75097</v>
      </c>
      <c r="M31" s="10">
        <v>75097</v>
      </c>
      <c r="N31" s="10">
        <v>75097</v>
      </c>
      <c r="O31" s="10">
        <v>75097</v>
      </c>
      <c r="P31" s="10">
        <v>75097</v>
      </c>
      <c r="Q31" s="10">
        <v>75097</v>
      </c>
    </row>
    <row r="32" spans="2:17" x14ac:dyDescent="0.2">
      <c r="B32" s="11" t="s">
        <v>67</v>
      </c>
      <c r="C32" s="10"/>
      <c r="D32" s="9" t="s">
        <v>91</v>
      </c>
      <c r="E32" s="10">
        <v>2208598</v>
      </c>
      <c r="F32" s="10">
        <v>3142660</v>
      </c>
      <c r="G32" s="10">
        <f>G11</f>
        <v>2995247.7</v>
      </c>
      <c r="H32" s="10">
        <f t="shared" ref="H32:Q32" si="4">H11</f>
        <v>3925545.4804499997</v>
      </c>
      <c r="I32" s="10">
        <f t="shared" si="4"/>
        <v>5113789.6982277595</v>
      </c>
      <c r="J32" s="10">
        <f t="shared" si="4"/>
        <v>6461784.662680598</v>
      </c>
      <c r="K32" s="10">
        <f t="shared" si="4"/>
        <v>8139603.392481734</v>
      </c>
      <c r="L32" s="10">
        <f t="shared" si="4"/>
        <v>10241549.9768067</v>
      </c>
      <c r="M32" s="10">
        <f t="shared" si="4"/>
        <v>12889397.863508228</v>
      </c>
      <c r="N32" s="10">
        <f t="shared" si="4"/>
        <v>15438920.760910157</v>
      </c>
      <c r="O32" s="10">
        <f t="shared" si="4"/>
        <v>18481839.200251613</v>
      </c>
      <c r="P32" s="10">
        <f t="shared" si="4"/>
        <v>22064527.310132485</v>
      </c>
      <c r="Q32" s="10">
        <f t="shared" si="4"/>
        <v>25876760.111656021</v>
      </c>
    </row>
    <row r="33" spans="2:17" x14ac:dyDescent="0.2">
      <c r="B33" s="30" t="s">
        <v>68</v>
      </c>
      <c r="C33" s="31"/>
      <c r="D33" s="32" t="s">
        <v>91</v>
      </c>
      <c r="E33" s="15">
        <f>SUM(E27:E32)</f>
        <v>2325659</v>
      </c>
      <c r="F33" s="15">
        <f>SUM(F27:F32)</f>
        <v>3408657</v>
      </c>
      <c r="G33" s="15">
        <f t="shared" ref="G33:Q33" si="5">SUM(G27:G32)</f>
        <v>3448388.9647443066</v>
      </c>
      <c r="H33" s="15">
        <f t="shared" si="5"/>
        <v>4477666.855021067</v>
      </c>
      <c r="I33" s="15">
        <f t="shared" si="5"/>
        <v>5806321.4820124479</v>
      </c>
      <c r="J33" s="15">
        <f t="shared" si="5"/>
        <v>7244160.0998383444</v>
      </c>
      <c r="K33" s="15">
        <f t="shared" si="5"/>
        <v>9080748.2365425788</v>
      </c>
      <c r="L33" s="15">
        <f t="shared" si="5"/>
        <v>11306829.165604657</v>
      </c>
      <c r="M33" s="15">
        <f t="shared" si="5"/>
        <v>14092167.17623318</v>
      </c>
      <c r="N33" s="15">
        <f t="shared" si="5"/>
        <v>16887480.029530503</v>
      </c>
      <c r="O33" s="15">
        <f t="shared" si="5"/>
        <v>20158031.516262047</v>
      </c>
      <c r="P33" s="15">
        <f t="shared" si="5"/>
        <v>23981267.882790215</v>
      </c>
      <c r="Q33" s="15">
        <f t="shared" si="5"/>
        <v>28060114.204944178</v>
      </c>
    </row>
    <row r="34" spans="2:17" x14ac:dyDescent="0.2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2:17" x14ac:dyDescent="0.2">
      <c r="B35" s="34" t="s">
        <v>69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2:17" x14ac:dyDescent="0.2">
      <c r="B36" s="11" t="s">
        <v>20</v>
      </c>
      <c r="D36" s="9" t="s">
        <v>91</v>
      </c>
      <c r="E36" s="10">
        <v>2926</v>
      </c>
      <c r="F36" s="10">
        <v>2159</v>
      </c>
      <c r="G36" s="10">
        <f>'Income Statement'!H9*Assumptions!I29</f>
        <v>7813.9717926514604</v>
      </c>
      <c r="H36" s="10">
        <f>'Income Statement'!I9*Assumptions!J29</f>
        <v>10790.994479392764</v>
      </c>
      <c r="I36" s="10">
        <f>'Income Statement'!J9*Assumptions!K29</f>
        <v>15154.468045790751</v>
      </c>
      <c r="J36" s="10">
        <f>'Income Statement'!K9*Assumptions!L29</f>
        <v>18708.421893112903</v>
      </c>
      <c r="K36" s="10">
        <f>'Income Statement'!L9*Assumptions!M29</f>
        <v>24341.989886166109</v>
      </c>
      <c r="L36" s="10">
        <f>'Income Statement'!M9*Assumptions!N29</f>
        <v>29330.366156535289</v>
      </c>
      <c r="M36" s="10">
        <f>'Income Statement'!N9*Assumptions!O29</f>
        <v>35379.296841501244</v>
      </c>
      <c r="N36" s="10">
        <f>'Income Statement'!O9*Assumptions!P29</f>
        <v>44122.300483128449</v>
      </c>
      <c r="O36" s="10">
        <f>'Income Statement'!P9*Assumptions!Q29</f>
        <v>51667.319797819633</v>
      </c>
      <c r="P36" s="10">
        <f>'Income Statement'!Q9*Assumptions!R29</f>
        <v>59613.829723230971</v>
      </c>
      <c r="Q36" s="10">
        <f>'Income Statement'!R9*Assumptions!S29</f>
        <v>68369.341982427388</v>
      </c>
    </row>
    <row r="37" spans="2:17" x14ac:dyDescent="0.2">
      <c r="B37" s="11" t="s">
        <v>18</v>
      </c>
      <c r="D37" s="9" t="s">
        <v>91</v>
      </c>
      <c r="E37" s="10">
        <v>86639</v>
      </c>
      <c r="F37" s="10">
        <v>82728</v>
      </c>
      <c r="G37" s="10">
        <v>83000</v>
      </c>
      <c r="H37" s="10">
        <v>83000</v>
      </c>
      <c r="I37" s="10">
        <v>83000</v>
      </c>
      <c r="J37" s="10">
        <v>83000</v>
      </c>
      <c r="K37" s="10">
        <v>83000</v>
      </c>
      <c r="L37" s="10">
        <v>83000</v>
      </c>
      <c r="M37" s="10">
        <v>83000</v>
      </c>
      <c r="N37" s="10">
        <v>83000</v>
      </c>
      <c r="O37" s="10">
        <v>83000</v>
      </c>
      <c r="P37" s="10">
        <v>83000</v>
      </c>
      <c r="Q37" s="10">
        <v>83000</v>
      </c>
    </row>
    <row r="38" spans="2:17" x14ac:dyDescent="0.2">
      <c r="B38" s="11" t="s">
        <v>66</v>
      </c>
      <c r="D38" s="9" t="s">
        <v>91</v>
      </c>
      <c r="E38" s="10">
        <v>79534</v>
      </c>
      <c r="F38" s="10">
        <v>0</v>
      </c>
      <c r="G38" s="10">
        <f t="shared" ref="G38" si="6">F38</f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</row>
    <row r="39" spans="2:17" x14ac:dyDescent="0.2">
      <c r="B39" s="11" t="s">
        <v>70</v>
      </c>
      <c r="D39" s="9" t="s">
        <v>91</v>
      </c>
      <c r="E39" s="10">
        <v>909847</v>
      </c>
      <c r="F39" s="10">
        <v>1697985</v>
      </c>
      <c r="G39" s="10">
        <v>1701397</v>
      </c>
      <c r="H39" s="10">
        <v>1701397</v>
      </c>
      <c r="I39" s="10">
        <v>1701397</v>
      </c>
      <c r="J39" s="10">
        <v>1701397</v>
      </c>
      <c r="K39" s="10">
        <v>1701397</v>
      </c>
      <c r="L39" s="10">
        <v>1701397</v>
      </c>
      <c r="M39" s="10">
        <v>1701397</v>
      </c>
      <c r="N39" s="10">
        <v>1701397</v>
      </c>
      <c r="O39" s="10">
        <v>1701397</v>
      </c>
      <c r="P39" s="10">
        <v>1701397</v>
      </c>
      <c r="Q39" s="10">
        <v>1701397</v>
      </c>
    </row>
    <row r="40" spans="2:17" x14ac:dyDescent="0.2">
      <c r="B40" s="11" t="s">
        <v>19</v>
      </c>
      <c r="D40" s="9" t="s">
        <v>91</v>
      </c>
      <c r="E40" s="10">
        <v>34978</v>
      </c>
      <c r="F40" s="10">
        <v>20803</v>
      </c>
      <c r="G40" s="10">
        <v>28970</v>
      </c>
      <c r="H40" s="10">
        <v>28970</v>
      </c>
      <c r="I40" s="10">
        <v>28970</v>
      </c>
      <c r="J40" s="10">
        <v>28970</v>
      </c>
      <c r="K40" s="10">
        <v>28970</v>
      </c>
      <c r="L40" s="10">
        <v>28970</v>
      </c>
      <c r="M40" s="10">
        <v>28970</v>
      </c>
      <c r="N40" s="10">
        <v>28970</v>
      </c>
      <c r="O40" s="10">
        <v>28970</v>
      </c>
      <c r="P40" s="10">
        <v>28970</v>
      </c>
      <c r="Q40" s="10">
        <v>28970</v>
      </c>
    </row>
    <row r="41" spans="2:17" x14ac:dyDescent="0.2">
      <c r="B41" s="30" t="s">
        <v>107</v>
      </c>
      <c r="C41" s="31"/>
      <c r="D41" s="32" t="s">
        <v>91</v>
      </c>
      <c r="E41" s="15">
        <f>SUM(E36:E40)</f>
        <v>1113924</v>
      </c>
      <c r="F41" s="15">
        <f t="shared" ref="F41:Q41" si="7">SUM(F36:F40)</f>
        <v>1803675</v>
      </c>
      <c r="G41" s="15">
        <f t="shared" si="7"/>
        <v>1821180.9717926513</v>
      </c>
      <c r="H41" s="15">
        <f t="shared" si="7"/>
        <v>1824157.9944793927</v>
      </c>
      <c r="I41" s="15">
        <f t="shared" si="7"/>
        <v>1828521.4680457907</v>
      </c>
      <c r="J41" s="15">
        <f t="shared" si="7"/>
        <v>1832075.4218931128</v>
      </c>
      <c r="K41" s="15">
        <f t="shared" si="7"/>
        <v>1837708.9898861661</v>
      </c>
      <c r="L41" s="15">
        <f t="shared" si="7"/>
        <v>1842697.3661565352</v>
      </c>
      <c r="M41" s="15">
        <f t="shared" si="7"/>
        <v>1848746.2968415013</v>
      </c>
      <c r="N41" s="15">
        <f t="shared" si="7"/>
        <v>1857489.3004831285</v>
      </c>
      <c r="O41" s="15">
        <f t="shared" si="7"/>
        <v>1865034.3197978197</v>
      </c>
      <c r="P41" s="15">
        <f t="shared" si="7"/>
        <v>1872980.829723231</v>
      </c>
      <c r="Q41" s="15">
        <f t="shared" si="7"/>
        <v>1881736.3419824275</v>
      </c>
    </row>
    <row r="42" spans="2:17" x14ac:dyDescent="0.2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2:17" x14ac:dyDescent="0.2">
      <c r="B43" s="49" t="s">
        <v>71</v>
      </c>
      <c r="C43" s="49"/>
      <c r="D43" s="39" t="s">
        <v>91</v>
      </c>
      <c r="E43" s="50">
        <f>E41+E33</f>
        <v>3439583</v>
      </c>
      <c r="F43" s="50">
        <f t="shared" ref="F43:Q43" si="8">F41+F33</f>
        <v>5212332</v>
      </c>
      <c r="G43" s="50">
        <f t="shared" si="8"/>
        <v>5269569.9365369584</v>
      </c>
      <c r="H43" s="50">
        <f t="shared" si="8"/>
        <v>6301824.8495004596</v>
      </c>
      <c r="I43" s="50">
        <f t="shared" si="8"/>
        <v>7634842.9500582386</v>
      </c>
      <c r="J43" s="50">
        <f t="shared" si="8"/>
        <v>9076235.5217314567</v>
      </c>
      <c r="K43" s="50">
        <f t="shared" si="8"/>
        <v>10918457.226428745</v>
      </c>
      <c r="L43" s="50">
        <f t="shared" si="8"/>
        <v>13149526.531761192</v>
      </c>
      <c r="M43" s="50">
        <f t="shared" si="8"/>
        <v>15940913.473074682</v>
      </c>
      <c r="N43" s="50">
        <f t="shared" si="8"/>
        <v>18744969.330013633</v>
      </c>
      <c r="O43" s="50">
        <f t="shared" si="8"/>
        <v>22023065.836059868</v>
      </c>
      <c r="P43" s="50">
        <f t="shared" si="8"/>
        <v>25854248.712513447</v>
      </c>
      <c r="Q43" s="50">
        <f t="shared" si="8"/>
        <v>29941850.546926606</v>
      </c>
    </row>
    <row r="44" spans="2:17" x14ac:dyDescent="0.2">
      <c r="B44" s="34"/>
      <c r="D44" s="9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2:17" x14ac:dyDescent="0.2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2:17" x14ac:dyDescent="0.2">
      <c r="B46" s="8" t="s">
        <v>72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2:17" x14ac:dyDescent="0.2">
      <c r="B47" s="11" t="s">
        <v>108</v>
      </c>
      <c r="D47" s="9" t="s">
        <v>91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/>
      <c r="M47" s="10"/>
      <c r="N47" s="10"/>
      <c r="O47" s="10"/>
      <c r="P47" s="10"/>
      <c r="Q47" s="10"/>
    </row>
    <row r="48" spans="2:17" x14ac:dyDescent="0.2">
      <c r="B48" s="11" t="s">
        <v>109</v>
      </c>
      <c r="D48" s="9" t="s">
        <v>91</v>
      </c>
      <c r="E48" s="10">
        <v>2</v>
      </c>
      <c r="F48" s="10">
        <v>2</v>
      </c>
      <c r="G48" s="10">
        <f>F48</f>
        <v>2</v>
      </c>
      <c r="H48" s="10">
        <v>2</v>
      </c>
      <c r="I48" s="10">
        <v>2</v>
      </c>
      <c r="J48" s="10">
        <v>2</v>
      </c>
      <c r="K48" s="10">
        <v>2</v>
      </c>
      <c r="L48" s="10">
        <v>2</v>
      </c>
      <c r="M48" s="10">
        <v>2</v>
      </c>
      <c r="N48" s="10">
        <v>2</v>
      </c>
      <c r="O48" s="10">
        <v>2</v>
      </c>
      <c r="P48" s="10">
        <v>2</v>
      </c>
      <c r="Q48" s="10">
        <v>2</v>
      </c>
    </row>
    <row r="49" spans="2:17" x14ac:dyDescent="0.2">
      <c r="B49" s="11" t="s">
        <v>110</v>
      </c>
      <c r="D49" s="9" t="s">
        <v>91</v>
      </c>
      <c r="E49" s="10">
        <v>2777155</v>
      </c>
      <c r="F49" s="10">
        <v>4598737</v>
      </c>
      <c r="G49" s="10">
        <f t="shared" ref="G49:G50" si="9">F49</f>
        <v>4598737</v>
      </c>
      <c r="H49" s="10">
        <v>4598737</v>
      </c>
      <c r="I49" s="10">
        <v>4598737</v>
      </c>
      <c r="J49" s="10">
        <v>4598737</v>
      </c>
      <c r="K49" s="10">
        <v>4598737</v>
      </c>
      <c r="L49" s="10">
        <v>4598737</v>
      </c>
      <c r="M49" s="10">
        <v>4598737</v>
      </c>
      <c r="N49" s="10">
        <v>4598737</v>
      </c>
      <c r="O49" s="10">
        <v>4598737</v>
      </c>
      <c r="P49" s="10">
        <v>4598737</v>
      </c>
      <c r="Q49" s="10">
        <v>4598737</v>
      </c>
    </row>
    <row r="50" spans="2:17" x14ac:dyDescent="0.2">
      <c r="B50" s="11" t="s">
        <v>73</v>
      </c>
      <c r="D50" s="9" t="s">
        <v>91</v>
      </c>
      <c r="E50" s="10">
        <v>-100</v>
      </c>
      <c r="F50" s="10">
        <v>-10217</v>
      </c>
      <c r="G50" s="10">
        <f t="shared" si="9"/>
        <v>-10217</v>
      </c>
      <c r="H50" s="10">
        <v>-10217</v>
      </c>
      <c r="I50" s="10">
        <v>-10217</v>
      </c>
      <c r="J50" s="10">
        <v>-10217</v>
      </c>
      <c r="K50" s="10">
        <v>-10217</v>
      </c>
      <c r="L50" s="10">
        <v>-10217</v>
      </c>
      <c r="M50" s="10">
        <v>-10217</v>
      </c>
      <c r="N50" s="10">
        <v>-10217</v>
      </c>
      <c r="O50" s="10">
        <v>-10217</v>
      </c>
      <c r="P50" s="10">
        <v>-10217</v>
      </c>
      <c r="Q50" s="10">
        <v>-10217</v>
      </c>
    </row>
    <row r="51" spans="2:17" x14ac:dyDescent="0.2">
      <c r="B51" s="11" t="s">
        <v>74</v>
      </c>
      <c r="D51" s="9" t="s">
        <v>91</v>
      </c>
      <c r="E51" s="10">
        <v>-247467</v>
      </c>
      <c r="F51" s="10">
        <v>-544828</v>
      </c>
      <c r="G51" s="10">
        <f>F51+'Income Statement'!H32</f>
        <v>-664335.10996234755</v>
      </c>
      <c r="H51" s="10">
        <f>G51+'Income Statement'!I32</f>
        <v>-703239.32497215283</v>
      </c>
      <c r="I51" s="10">
        <f>H51+'Income Statement'!J32</f>
        <v>-609284.53168842092</v>
      </c>
      <c r="J51" s="10">
        <f>I51+'Income Statement'!K32</f>
        <v>-339662.60770002607</v>
      </c>
      <c r="K51" s="10">
        <f>J51+'Income Statement'!L32</f>
        <v>153135.77134063793</v>
      </c>
      <c r="L51" s="10">
        <f>K51+'Income Statement'!M32</f>
        <v>888094.78817631502</v>
      </c>
      <c r="M51" s="10">
        <f>L51+'Income Statement'!N32</f>
        <v>1946617.8791988599</v>
      </c>
      <c r="N51" s="10">
        <f>M51+'Income Statement'!O32</f>
        <v>3353433.8348649181</v>
      </c>
      <c r="O51" s="10">
        <f>N51+'Income Statement'!P32</f>
        <v>5022102.8079245277</v>
      </c>
      <c r="P51" s="10">
        <f>O51+'Income Statement'!Q32</f>
        <v>6962110.6266795564</v>
      </c>
      <c r="Q51" s="10">
        <f>P51+'Income Statement'!R32</f>
        <v>9197118.0440673865</v>
      </c>
    </row>
    <row r="52" spans="2:17" x14ac:dyDescent="0.2"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spans="2:17" x14ac:dyDescent="0.2">
      <c r="B53" s="49" t="s">
        <v>75</v>
      </c>
      <c r="C53" s="49"/>
      <c r="D53" s="39" t="s">
        <v>91</v>
      </c>
      <c r="E53" s="50">
        <f>SUM(E47:E51)</f>
        <v>2529590</v>
      </c>
      <c r="F53" s="50">
        <f>SUM(F47:F51)</f>
        <v>4043694</v>
      </c>
      <c r="G53" s="50">
        <f t="shared" ref="G53:Q53" si="10">SUM(G47:G51)</f>
        <v>3924186.8900376526</v>
      </c>
      <c r="H53" s="50">
        <f t="shared" si="10"/>
        <v>3885282.6750278473</v>
      </c>
      <c r="I53" s="50">
        <f t="shared" si="10"/>
        <v>3979237.468311579</v>
      </c>
      <c r="J53" s="50">
        <f t="shared" si="10"/>
        <v>4248859.3922999743</v>
      </c>
      <c r="K53" s="50">
        <f t="shared" si="10"/>
        <v>4741657.7713406384</v>
      </c>
      <c r="L53" s="50">
        <f t="shared" si="10"/>
        <v>5476616.7881763149</v>
      </c>
      <c r="M53" s="50">
        <f t="shared" si="10"/>
        <v>6535139.8791988604</v>
      </c>
      <c r="N53" s="50">
        <f t="shared" si="10"/>
        <v>7941955.8348649181</v>
      </c>
      <c r="O53" s="50">
        <f t="shared" si="10"/>
        <v>9610624.8079245277</v>
      </c>
      <c r="P53" s="50">
        <f t="shared" si="10"/>
        <v>11550632.626679556</v>
      </c>
      <c r="Q53" s="50">
        <f t="shared" si="10"/>
        <v>13785640.044067387</v>
      </c>
    </row>
    <row r="54" spans="2:17" x14ac:dyDescent="0.2"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2:17" x14ac:dyDescent="0.2"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spans="2:17" x14ac:dyDescent="0.2">
      <c r="B56" s="49" t="s">
        <v>127</v>
      </c>
      <c r="C56" s="49"/>
      <c r="D56" s="39" t="s">
        <v>91</v>
      </c>
      <c r="E56" s="50">
        <f>E43+E53</f>
        <v>5969173</v>
      </c>
      <c r="F56" s="50">
        <f t="shared" ref="F56:Q56" si="11">F43+F53</f>
        <v>9256026</v>
      </c>
      <c r="G56" s="50">
        <f t="shared" si="11"/>
        <v>9193756.8265746105</v>
      </c>
      <c r="H56" s="50">
        <f t="shared" si="11"/>
        <v>10187107.524528306</v>
      </c>
      <c r="I56" s="50">
        <f t="shared" si="11"/>
        <v>11614080.418369818</v>
      </c>
      <c r="J56" s="50">
        <f t="shared" si="11"/>
        <v>13325094.914031431</v>
      </c>
      <c r="K56" s="50">
        <f t="shared" si="11"/>
        <v>15660114.997769384</v>
      </c>
      <c r="L56" s="50">
        <f t="shared" si="11"/>
        <v>18626143.319937505</v>
      </c>
      <c r="M56" s="50">
        <f t="shared" si="11"/>
        <v>22476053.352273542</v>
      </c>
      <c r="N56" s="50">
        <f t="shared" si="11"/>
        <v>26686925.164878551</v>
      </c>
      <c r="O56" s="50">
        <f t="shared" si="11"/>
        <v>31633690.643984396</v>
      </c>
      <c r="P56" s="50">
        <f t="shared" si="11"/>
        <v>37404881.339193001</v>
      </c>
      <c r="Q56" s="50">
        <f t="shared" si="11"/>
        <v>43727490.590993993</v>
      </c>
    </row>
    <row r="57" spans="2:17" x14ac:dyDescent="0.2"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 spans="2:17" x14ac:dyDescent="0.2">
      <c r="B58" s="8" t="s">
        <v>128</v>
      </c>
      <c r="E58" s="10">
        <f>E22-E56</f>
        <v>0</v>
      </c>
      <c r="F58" s="10">
        <f>F22-F56</f>
        <v>0</v>
      </c>
      <c r="G58" s="10">
        <f>G22-G56</f>
        <v>0</v>
      </c>
      <c r="H58" s="10">
        <f t="shared" ref="H58:Q58" si="12">H22-H56</f>
        <v>0</v>
      </c>
      <c r="I58" s="10">
        <f t="shared" si="12"/>
        <v>0</v>
      </c>
      <c r="J58" s="10">
        <f t="shared" si="12"/>
        <v>0</v>
      </c>
      <c r="K58" s="10">
        <f t="shared" si="12"/>
        <v>0</v>
      </c>
      <c r="L58" s="10">
        <f t="shared" si="12"/>
        <v>0</v>
      </c>
      <c r="M58" s="10">
        <f t="shared" si="12"/>
        <v>0</v>
      </c>
      <c r="N58" s="10">
        <f t="shared" si="12"/>
        <v>0</v>
      </c>
      <c r="O58" s="10">
        <f t="shared" si="12"/>
        <v>0</v>
      </c>
      <c r="P58" s="10">
        <f t="shared" si="12"/>
        <v>0</v>
      </c>
      <c r="Q58" s="10">
        <f t="shared" si="12"/>
        <v>0</v>
      </c>
    </row>
    <row r="59" spans="2:17" x14ac:dyDescent="0.2">
      <c r="M59" s="34"/>
      <c r="N59" s="41"/>
      <c r="O59" s="41"/>
    </row>
    <row r="60" spans="2:17" x14ac:dyDescent="0.2">
      <c r="M60" s="34"/>
      <c r="N60" s="45"/>
      <c r="O60" s="45"/>
    </row>
    <row r="61" spans="2:17" x14ac:dyDescent="0.2">
      <c r="G61" s="10"/>
      <c r="M61" s="34"/>
      <c r="N61" s="45"/>
      <c r="O61" s="45"/>
    </row>
    <row r="62" spans="2:17" x14ac:dyDescent="0.2">
      <c r="F62" s="10"/>
      <c r="M62" s="34"/>
      <c r="N62" s="41"/>
      <c r="O62" s="41"/>
    </row>
    <row r="63" spans="2:17" x14ac:dyDescent="0.2">
      <c r="M63" s="34"/>
      <c r="N63" s="41"/>
      <c r="O63" s="41"/>
    </row>
    <row r="64" spans="2:17" x14ac:dyDescent="0.2">
      <c r="M64" s="34"/>
      <c r="N64" s="41"/>
      <c r="O64" s="41"/>
    </row>
    <row r="65" spans="8:15" x14ac:dyDescent="0.2">
      <c r="M65" s="34"/>
      <c r="N65" s="41"/>
      <c r="O65" s="41"/>
    </row>
    <row r="66" spans="8:15" x14ac:dyDescent="0.2">
      <c r="M66" s="34"/>
      <c r="N66" s="41"/>
      <c r="O66" s="41"/>
    </row>
    <row r="67" spans="8:15" x14ac:dyDescent="0.2">
      <c r="M67" s="34"/>
      <c r="N67" s="41"/>
      <c r="O67" s="41"/>
    </row>
    <row r="68" spans="8:15" x14ac:dyDescent="0.2">
      <c r="H68" s="10"/>
      <c r="M68" s="34"/>
      <c r="N68" s="44"/>
      <c r="O68" s="44"/>
    </row>
  </sheetData>
  <mergeCells count="2">
    <mergeCell ref="E2:F2"/>
    <mergeCell ref="G2:Q2"/>
  </mergeCells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0F4A9-3E15-A447-9EA6-F6628FD0E987}">
  <dimension ref="B2:Q67"/>
  <sheetViews>
    <sheetView showGridLines="0" topLeftCell="B1" zoomScale="42" zoomScaleNormal="50" workbookViewId="0">
      <selection activeCell="Q9" sqref="Q9"/>
    </sheetView>
  </sheetViews>
  <sheetFormatPr baseColWidth="10" defaultRowHeight="16" x14ac:dyDescent="0.2"/>
  <cols>
    <col min="1" max="1" width="6.33203125" style="8" customWidth="1"/>
    <col min="2" max="2" width="87.33203125" style="8" customWidth="1"/>
    <col min="3" max="21" width="16.5" style="8" customWidth="1"/>
    <col min="22" max="16384" width="10.83203125" style="8"/>
  </cols>
  <sheetData>
    <row r="2" spans="2:17" x14ac:dyDescent="0.2">
      <c r="B2" s="1"/>
      <c r="C2" s="1"/>
      <c r="D2" s="1"/>
      <c r="E2" s="118" t="s">
        <v>76</v>
      </c>
      <c r="F2" s="119"/>
      <c r="G2" s="117" t="s">
        <v>124</v>
      </c>
      <c r="H2" s="118"/>
      <c r="I2" s="118"/>
      <c r="J2" s="118"/>
      <c r="K2" s="118"/>
      <c r="L2" s="118"/>
      <c r="M2" s="118"/>
      <c r="N2" s="118"/>
      <c r="O2" s="118"/>
      <c r="P2" s="118"/>
      <c r="Q2" s="118"/>
    </row>
    <row r="3" spans="2:17" x14ac:dyDescent="0.2">
      <c r="B3" s="51" t="s">
        <v>125</v>
      </c>
      <c r="C3" s="1"/>
      <c r="D3" s="27" t="s">
        <v>79</v>
      </c>
      <c r="E3" s="5" t="s">
        <v>81</v>
      </c>
      <c r="F3" s="28" t="s">
        <v>82</v>
      </c>
      <c r="G3" s="6" t="s">
        <v>83</v>
      </c>
      <c r="H3" s="6" t="s">
        <v>84</v>
      </c>
      <c r="I3" s="4" t="s">
        <v>85</v>
      </c>
      <c r="J3" s="4" t="s">
        <v>86</v>
      </c>
      <c r="K3" s="4" t="s">
        <v>88</v>
      </c>
      <c r="L3" s="4" t="s">
        <v>117</v>
      </c>
      <c r="M3" s="4" t="s">
        <v>118</v>
      </c>
      <c r="N3" s="4" t="s">
        <v>119</v>
      </c>
      <c r="O3" s="4" t="s">
        <v>120</v>
      </c>
      <c r="P3" s="4" t="s">
        <v>121</v>
      </c>
      <c r="Q3" s="4" t="s">
        <v>122</v>
      </c>
    </row>
    <row r="4" spans="2:17" x14ac:dyDescent="0.2">
      <c r="B4" s="7" t="s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6" spans="2:17" x14ac:dyDescent="0.2">
      <c r="B6" s="34" t="s">
        <v>112</v>
      </c>
      <c r="D6" s="9" t="s">
        <v>91</v>
      </c>
      <c r="E6" s="10">
        <v>-98720</v>
      </c>
      <c r="F6" s="10">
        <v>-326361</v>
      </c>
      <c r="G6" s="10">
        <f>'Income Statement'!H32</f>
        <v>-119507.1099623475</v>
      </c>
      <c r="H6" s="10">
        <f>'Income Statement'!I32</f>
        <v>-38904.215009805252</v>
      </c>
      <c r="I6" s="10">
        <f>'Income Statement'!J32</f>
        <v>93954.79328373188</v>
      </c>
      <c r="J6" s="10">
        <f>'Income Statement'!K32</f>
        <v>269621.92398839485</v>
      </c>
      <c r="K6" s="10">
        <f>'Income Statement'!L32</f>
        <v>492798.379040664</v>
      </c>
      <c r="L6" s="10">
        <f>'Income Statement'!M32</f>
        <v>734959.01683567709</v>
      </c>
      <c r="M6" s="10">
        <f>'Income Statement'!N32</f>
        <v>1058523.0910225448</v>
      </c>
      <c r="N6" s="10">
        <f>'Income Statement'!O32</f>
        <v>1406815.9556660585</v>
      </c>
      <c r="O6" s="10">
        <f>'Income Statement'!P32</f>
        <v>1668668.9730596093</v>
      </c>
      <c r="P6" s="10">
        <f>'Income Statement'!Q32</f>
        <v>1940007.818755029</v>
      </c>
      <c r="Q6" s="10">
        <f>'Income Statement'!R32</f>
        <v>2235007.417387831</v>
      </c>
    </row>
    <row r="7" spans="2:17" x14ac:dyDescent="0.2">
      <c r="B7" s="34" t="s">
        <v>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2:17" x14ac:dyDescent="0.2">
      <c r="B8" s="11" t="s">
        <v>2</v>
      </c>
      <c r="D8" s="9" t="s">
        <v>91</v>
      </c>
      <c r="E8" s="10">
        <v>68290</v>
      </c>
      <c r="F8" s="10">
        <v>197157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</row>
    <row r="9" spans="2:17" x14ac:dyDescent="0.2">
      <c r="B9" s="11" t="s">
        <v>3</v>
      </c>
      <c r="D9" s="9" t="s">
        <v>91</v>
      </c>
      <c r="E9" s="10">
        <v>5659</v>
      </c>
      <c r="F9" s="10">
        <v>75977</v>
      </c>
      <c r="G9" s="10">
        <f>Assumptions!I69</f>
        <v>79075</v>
      </c>
      <c r="H9" s="10">
        <f>Assumptions!J69</f>
        <v>78147</v>
      </c>
      <c r="I9" s="10">
        <f>Assumptions!K69</f>
        <v>59425</v>
      </c>
      <c r="J9" s="10">
        <f>Assumptions!L69</f>
        <v>57763</v>
      </c>
      <c r="K9" s="10">
        <f>Assumptions!M69</f>
        <v>55094</v>
      </c>
      <c r="L9" s="10">
        <f>Assumptions!N69</f>
        <v>45857</v>
      </c>
      <c r="M9" s="10">
        <f>Assumptions!O69</f>
        <v>15000</v>
      </c>
      <c r="N9" s="10">
        <f>Assumptions!P69</f>
        <v>10000</v>
      </c>
      <c r="O9" s="10">
        <f>Assumptions!Q69</f>
        <v>5000</v>
      </c>
      <c r="P9" s="10">
        <f>Assumptions!R69</f>
        <v>5000</v>
      </c>
      <c r="Q9" s="10">
        <f>Assumptions!S69</f>
        <v>5000</v>
      </c>
    </row>
    <row r="10" spans="2:17" x14ac:dyDescent="0.2">
      <c r="B10" s="11" t="s">
        <v>4</v>
      </c>
      <c r="D10" s="9" t="s">
        <v>91</v>
      </c>
      <c r="E10" s="10">
        <v>4443</v>
      </c>
      <c r="F10" s="10">
        <v>9161</v>
      </c>
      <c r="G10" s="10">
        <f>Assumptions!I54</f>
        <v>5364.4630078375167</v>
      </c>
      <c r="H10" s="10">
        <f>Assumptions!J54</f>
        <v>6988.7316424094097</v>
      </c>
      <c r="I10" s="10">
        <f>Assumptions!K54</f>
        <v>9814.7126808149351</v>
      </c>
      <c r="J10" s="10">
        <f>Assumptions!L54</f>
        <v>12116.412469085113</v>
      </c>
      <c r="K10" s="10">
        <f>Assumptions!M54</f>
        <v>15764.963579726709</v>
      </c>
      <c r="L10" s="10">
        <f>Assumptions!N54</f>
        <v>18995.659615346878</v>
      </c>
      <c r="M10" s="10">
        <f>Assumptions!O54</f>
        <v>22913.218220486826</v>
      </c>
      <c r="N10" s="10">
        <f>Assumptions!P54</f>
        <v>28575.579212017899</v>
      </c>
      <c r="O10" s="10">
        <f>Assumptions!Q54</f>
        <v>33462.071863633057</v>
      </c>
      <c r="P10" s="10">
        <f>Assumptions!R54</f>
        <v>38608.58782826431</v>
      </c>
      <c r="Q10" s="10">
        <f>Assumptions!S54</f>
        <v>44279.049961129087</v>
      </c>
    </row>
    <row r="11" spans="2:17" x14ac:dyDescent="0.2">
      <c r="B11" s="11" t="s">
        <v>5</v>
      </c>
      <c r="D11" s="9" t="s">
        <v>91</v>
      </c>
      <c r="E11" s="10">
        <v>907</v>
      </c>
      <c r="F11" s="10">
        <v>2366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</row>
    <row r="12" spans="2:17" x14ac:dyDescent="0.2">
      <c r="B12" s="11" t="s">
        <v>6</v>
      </c>
      <c r="D12" s="9" t="s">
        <v>91</v>
      </c>
      <c r="E12" s="10">
        <v>27531</v>
      </c>
      <c r="F12" s="10">
        <v>4777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</row>
    <row r="13" spans="2:17" x14ac:dyDescent="0.2">
      <c r="B13" s="11" t="s">
        <v>7</v>
      </c>
      <c r="D13" s="9" t="s">
        <v>91</v>
      </c>
      <c r="E13" s="10">
        <v>4692</v>
      </c>
      <c r="F13" s="10">
        <v>11386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</row>
    <row r="14" spans="2:17" x14ac:dyDescent="0.2">
      <c r="B14" s="11" t="s">
        <v>8</v>
      </c>
      <c r="D14" s="9" t="s">
        <v>91</v>
      </c>
      <c r="E14" s="10">
        <v>741</v>
      </c>
      <c r="F14" s="10">
        <v>19879</v>
      </c>
      <c r="G14" s="10">
        <f>Assumptions!I87</f>
        <v>10121.855069782436</v>
      </c>
      <c r="H14" s="10">
        <f>Assumptions!J87</f>
        <v>13265.614868164112</v>
      </c>
      <c r="I14" s="10">
        <f>Assumptions!K87</f>
        <v>17281.054312405562</v>
      </c>
      <c r="J14" s="10">
        <f>Assumptions!L87</f>
        <v>21836.340229155674</v>
      </c>
      <c r="K14" s="10">
        <f>Assumptions!M87</f>
        <v>27506.201194715733</v>
      </c>
      <c r="L14" s="10">
        <f>Assumptions!N87</f>
        <v>34609.319474703574</v>
      </c>
      <c r="M14" s="10">
        <f>Assumptions!O87</f>
        <v>43557.204671651583</v>
      </c>
      <c r="N14" s="10">
        <f>Assumptions!P87</f>
        <v>52172.819755704273</v>
      </c>
      <c r="O14" s="10">
        <f>Assumptions!Q87</f>
        <v>62455.768785990738</v>
      </c>
      <c r="P14" s="10">
        <f>Assumptions!R87</f>
        <v>74562.764080051726</v>
      </c>
      <c r="Q14" s="10">
        <f>Assumptions!S87</f>
        <v>87445.460863123066</v>
      </c>
    </row>
    <row r="15" spans="2:17" x14ac:dyDescent="0.2">
      <c r="B15" s="11" t="s">
        <v>9</v>
      </c>
      <c r="D15" s="9" t="s">
        <v>91</v>
      </c>
      <c r="E15" s="10">
        <v>3813</v>
      </c>
      <c r="F15" s="10">
        <v>8601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</row>
    <row r="16" spans="2:17" x14ac:dyDescent="0.2">
      <c r="B16" s="11" t="s">
        <v>10</v>
      </c>
      <c r="D16" s="9" t="s">
        <v>91</v>
      </c>
      <c r="E16" s="10">
        <v>-40617</v>
      </c>
      <c r="F16" s="10">
        <v>-4075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</row>
    <row r="17" spans="2:17" x14ac:dyDescent="0.2">
      <c r="B17" s="11" t="s">
        <v>11</v>
      </c>
      <c r="D17" s="9" t="s">
        <v>91</v>
      </c>
      <c r="E17" s="10">
        <v>0</v>
      </c>
      <c r="F17" s="10">
        <v>-726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</row>
    <row r="18" spans="2:17" x14ac:dyDescent="0.2">
      <c r="B18" s="11"/>
      <c r="D18" s="9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2:17" x14ac:dyDescent="0.2">
      <c r="B19" s="34" t="s">
        <v>12</v>
      </c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2:17" x14ac:dyDescent="0.2">
      <c r="B20" s="11" t="s">
        <v>13</v>
      </c>
      <c r="D20" s="9" t="s">
        <v>91</v>
      </c>
      <c r="E20" s="10">
        <v>-6535</v>
      </c>
      <c r="F20" s="10">
        <v>-3032</v>
      </c>
      <c r="G20" s="10">
        <f>'Balance Sheet'!F8-'Balance Sheet'!G8</f>
        <v>-32864.80039990411</v>
      </c>
      <c r="H20" s="10">
        <f>'Balance Sheet'!G8-'Balance Sheet'!H8</f>
        <v>-21681.901520013693</v>
      </c>
      <c r="I20" s="10">
        <f>'Balance Sheet'!H8-'Balance Sheet'!I8</f>
        <v>-31779.537513496063</v>
      </c>
      <c r="J20" s="10">
        <f>'Balance Sheet'!I8-'Balance Sheet'!J8</f>
        <v>-25883.738698901201</v>
      </c>
      <c r="K20" s="10">
        <f>'Balance Sheet'!J8-'Balance Sheet'!K8</f>
        <v>-41029.739872551756</v>
      </c>
      <c r="L20" s="10">
        <f>'Balance Sheet'!K8-'Balance Sheet'!L8</f>
        <v>-36330.755395521934</v>
      </c>
      <c r="M20" s="10">
        <f>'Balance Sheet'!L8-'Balance Sheet'!M8</f>
        <v>-44054.860581657907</v>
      </c>
      <c r="N20" s="10">
        <f>'Balance Sheet'!M8-'Balance Sheet'!N8</f>
        <v>-63676.015903789754</v>
      </c>
      <c r="O20" s="10">
        <f>'Balance Sheet'!N8-'Balance Sheet'!O8</f>
        <v>-54950.997342517425</v>
      </c>
      <c r="P20" s="10">
        <f>'Balance Sheet'!O8-'Balance Sheet'!P8</f>
        <v>-57875.086541304539</v>
      </c>
      <c r="Q20" s="10">
        <f>'Balance Sheet'!P8-'Balance Sheet'!Q8</f>
        <v>-63767.117196196865</v>
      </c>
    </row>
    <row r="21" spans="2:17" x14ac:dyDescent="0.2">
      <c r="B21" s="11" t="s">
        <v>14</v>
      </c>
      <c r="D21" s="9" t="s">
        <v>91</v>
      </c>
      <c r="E21" s="10">
        <v>706</v>
      </c>
      <c r="F21" s="10">
        <v>-12970</v>
      </c>
      <c r="G21" s="10">
        <f>'Balance Sheet'!F10-'Balance Sheet'!G10</f>
        <v>58176.455330494631</v>
      </c>
      <c r="H21" s="10">
        <f>'Balance Sheet'!G10-'Balance Sheet'!H10</f>
        <v>-28321.5141530127</v>
      </c>
      <c r="I21" s="10">
        <f>'Balance Sheet'!H10-'Balance Sheet'!I10</f>
        <v>-39061.791892248322</v>
      </c>
      <c r="J21" s="10">
        <f>'Balance Sheet'!I10-'Balance Sheet'!J10</f>
        <v>-25250.435351130785</v>
      </c>
      <c r="K21" s="10">
        <f>'Balance Sheet'!J10-'Balance Sheet'!K10</f>
        <v>-39814.21066132767</v>
      </c>
      <c r="L21" s="10">
        <f>'Balance Sheet'!K10-'Balance Sheet'!L10</f>
        <v>-26807.002987155953</v>
      </c>
      <c r="M21" s="10">
        <f>'Balance Sheet'!L10-'Balance Sheet'!M10</f>
        <v>-28626.85556032465</v>
      </c>
      <c r="N21" s="10">
        <f>'Balance Sheet'!M10-'Balance Sheet'!N10</f>
        <v>-69432.234601367847</v>
      </c>
      <c r="O21" s="10">
        <f>'Balance Sheet'!N10-'Balance Sheet'!O10</f>
        <v>-59918.48712440778</v>
      </c>
      <c r="P21" s="10">
        <f>'Balance Sheet'!O10-'Balance Sheet'!P10</f>
        <v>-63106.909709644155</v>
      </c>
      <c r="Q21" s="10">
        <f>'Balance Sheet'!P10-'Balance Sheet'!Q10</f>
        <v>-69531.57131735282</v>
      </c>
    </row>
    <row r="22" spans="2:17" x14ac:dyDescent="0.2">
      <c r="B22" s="11" t="s">
        <v>15</v>
      </c>
      <c r="D22" s="9" t="s">
        <v>91</v>
      </c>
      <c r="E22" s="10">
        <v>-12525</v>
      </c>
      <c r="F22" s="10">
        <v>5105</v>
      </c>
      <c r="G22" s="10">
        <f>'Balance Sheet'!F19-'Balance Sheet'!G19</f>
        <v>-26397.789533636387</v>
      </c>
      <c r="H22" s="10">
        <f>'Balance Sheet'!G19-'Balance Sheet'!H19</f>
        <v>-22444.64046330862</v>
      </c>
      <c r="I22" s="10">
        <f>'Balance Sheet'!H19-'Balance Sheet'!I19</f>
        <v>-39050.269772559681</v>
      </c>
      <c r="J22" s="10">
        <f>'Balance Sheet'!I19-'Balance Sheet'!J19</f>
        <v>-31805.591207401449</v>
      </c>
      <c r="K22" s="10">
        <f>'Balance Sheet'!J19-'Balance Sheet'!K19</f>
        <v>-50416.794455887401</v>
      </c>
      <c r="L22" s="10">
        <f>'Balance Sheet'!K19-'Balance Sheet'!L19</f>
        <v>-44642.745308471145</v>
      </c>
      <c r="M22" s="10">
        <f>'Balance Sheet'!L19-'Balance Sheet'!M19</f>
        <v>-54134.022239173588</v>
      </c>
      <c r="N22" s="10">
        <f>'Balance Sheet'!M19-'Balance Sheet'!N19</f>
        <v>-78244.234927232668</v>
      </c>
      <c r="O22" s="10">
        <f>'Balance Sheet'!N19-'Balance Sheet'!O19</f>
        <v>-67523.049055865617</v>
      </c>
      <c r="P22" s="10">
        <f>'Balance Sheet'!O19-'Balance Sheet'!P19</f>
        <v>-71116.130673342675</v>
      </c>
      <c r="Q22" s="10">
        <f>'Balance Sheet'!P19-'Balance Sheet'!Q19</f>
        <v>-78356.178974360926</v>
      </c>
    </row>
    <row r="23" spans="2:17" x14ac:dyDescent="0.2">
      <c r="B23" s="11" t="s">
        <v>16</v>
      </c>
      <c r="D23" s="9" t="s">
        <v>91</v>
      </c>
      <c r="E23" s="10">
        <v>7417</v>
      </c>
      <c r="F23" s="10">
        <v>-3771</v>
      </c>
      <c r="G23" s="10">
        <f>'Balance Sheet'!G27-'Balance Sheet'!F27</f>
        <v>14991.968149234373</v>
      </c>
      <c r="H23" s="10">
        <f>'Balance Sheet'!H27-'Balance Sheet'!G27</f>
        <v>5866.6103275365349</v>
      </c>
      <c r="I23" s="10">
        <f>'Balance Sheet'!I27-'Balance Sheet'!H27</f>
        <v>7754.6522965773875</v>
      </c>
      <c r="J23" s="10">
        <f>'Balance Sheet'!J27-'Balance Sheet'!I27</f>
        <v>4674.1673557381364</v>
      </c>
      <c r="K23" s="10">
        <f>'Balance Sheet'!K27-'Balance Sheet'!J27</f>
        <v>11415.864359762207</v>
      </c>
      <c r="L23" s="10">
        <f>'Balance Sheet'!L27-'Balance Sheet'!K27</f>
        <v>9210.7198694657709</v>
      </c>
      <c r="M23" s="10">
        <f>'Balance Sheet'!M27-'Balance Sheet'!L27</f>
        <v>11978.818853274155</v>
      </c>
      <c r="N23" s="10">
        <f>'Balance Sheet'!N27-'Balance Sheet'!M27</f>
        <v>17604.787302315293</v>
      </c>
      <c r="O23" s="10">
        <f>'Balance Sheet'!O27-'Balance Sheet'!N27</f>
        <v>15103.065138806967</v>
      </c>
      <c r="P23" s="10">
        <f>'Balance Sheet'!P27-'Balance Sheet'!O27</f>
        <v>16594.507587411892</v>
      </c>
      <c r="Q23" s="10">
        <f>'Balance Sheet'!Q27-'Balance Sheet'!P27</f>
        <v>18283.927910577942</v>
      </c>
    </row>
    <row r="24" spans="2:17" x14ac:dyDescent="0.2">
      <c r="B24" s="11" t="s">
        <v>130</v>
      </c>
      <c r="D24" s="9"/>
      <c r="E24" s="10"/>
      <c r="F24" s="10"/>
      <c r="G24" s="10">
        <f>'Balance Sheet'!G28-'Balance Sheet'!F28</f>
        <v>82642.333455885091</v>
      </c>
      <c r="H24" s="10">
        <f>'Balance Sheet'!H28-'Balance Sheet'!G28</f>
        <v>27193.402006720833</v>
      </c>
      <c r="I24" s="10">
        <f>'Balance Sheet'!I28-'Balance Sheet'!H28</f>
        <v>38441.833700913063</v>
      </c>
      <c r="J24" s="10">
        <f>'Balance Sheet'!J28-'Balance Sheet'!I28</f>
        <v>22835.531274875742</v>
      </c>
      <c r="K24" s="10">
        <f>'Balance Sheet'!K28-'Balance Sheet'!J28</f>
        <v>40771.794793327746</v>
      </c>
      <c r="L24" s="10">
        <f>'Balance Sheet'!L28-'Balance Sheet'!K28</f>
        <v>30340.221800186002</v>
      </c>
      <c r="M24" s="10">
        <f>'Balance Sheet'!M28-'Balance Sheet'!L28</f>
        <v>31661.465296925977</v>
      </c>
      <c r="N24" s="10">
        <f>'Balance Sheet'!N28-'Balance Sheet'!M28</f>
        <v>63090.527820719522</v>
      </c>
      <c r="O24" s="10">
        <f>'Balance Sheet'!O28-'Balance Sheet'!N28</f>
        <v>60229.036998881376</v>
      </c>
      <c r="P24" s="10">
        <f>'Balance Sheet'!P28-'Balance Sheet'!O28</f>
        <v>63476.394586781505</v>
      </c>
      <c r="Q24" s="10">
        <f>'Balance Sheet'!Q28-'Balance Sheet'!P28</f>
        <v>70522.517799929483</v>
      </c>
    </row>
    <row r="25" spans="2:17" x14ac:dyDescent="0.2">
      <c r="B25" s="11" t="s">
        <v>17</v>
      </c>
      <c r="D25" s="9" t="s">
        <v>91</v>
      </c>
      <c r="E25" s="10">
        <v>22980</v>
      </c>
      <c r="F25" s="10">
        <v>7460</v>
      </c>
      <c r="G25" s="10">
        <f>'Balance Sheet'!G30-'Balance Sheet'!F30</f>
        <v>69647.269442241959</v>
      </c>
      <c r="H25" s="10">
        <f>'Balance Sheet'!H30-'Balance Sheet'!G30</f>
        <v>46211.368970920506</v>
      </c>
      <c r="I25" s="10">
        <f>'Balance Sheet'!I30-'Balance Sheet'!H30</f>
        <v>65326.49944396838</v>
      </c>
      <c r="J25" s="10">
        <f>'Balance Sheet'!J30-'Balance Sheet'!I30</f>
        <v>38805.779472883558</v>
      </c>
      <c r="K25" s="10">
        <f>'Balance Sheet'!K30-'Balance Sheet'!J30</f>
        <v>69285.941212337522</v>
      </c>
      <c r="L25" s="10">
        <f>'Balance Sheet'!L30-'Balance Sheet'!K30</f>
        <v>51558.9474211958</v>
      </c>
      <c r="M25" s="10">
        <f>'Balance Sheet'!M30-'Balance Sheet'!L30</f>
        <v>53804.215251722897</v>
      </c>
      <c r="N25" s="10">
        <f>'Balance Sheet'!N30-'Balance Sheet'!M30</f>
        <v>107213.49461802642</v>
      </c>
      <c r="O25" s="10">
        <f>'Balance Sheet'!O30-'Balance Sheet'!N30</f>
        <v>102350.79269709042</v>
      </c>
      <c r="P25" s="10">
        <f>'Balance Sheet'!P30-'Balance Sheet'!O30</f>
        <v>107869.22101429338</v>
      </c>
      <c r="Q25" s="10">
        <f>'Balance Sheet'!Q30-'Balance Sheet'!P30</f>
        <v>119843.11819482525</v>
      </c>
    </row>
    <row r="26" spans="2:17" x14ac:dyDescent="0.2">
      <c r="B26" s="11" t="s">
        <v>18</v>
      </c>
      <c r="D26" s="9" t="s">
        <v>91</v>
      </c>
      <c r="E26" s="10">
        <v>8395</v>
      </c>
      <c r="F26" s="10">
        <v>-7877</v>
      </c>
      <c r="G26" s="10">
        <f>'Balance Sheet'!G37-'Balance Sheet'!F37</f>
        <v>272</v>
      </c>
      <c r="H26" s="10">
        <f>'Balance Sheet'!H37-'Balance Sheet'!G37</f>
        <v>0</v>
      </c>
      <c r="I26" s="10">
        <f>'Balance Sheet'!I37-'Balance Sheet'!H37</f>
        <v>0</v>
      </c>
      <c r="J26" s="10">
        <f>'Balance Sheet'!J37-'Balance Sheet'!I37</f>
        <v>0</v>
      </c>
      <c r="K26" s="10">
        <f>'Balance Sheet'!K37-'Balance Sheet'!J37</f>
        <v>0</v>
      </c>
      <c r="L26" s="10">
        <f>'Balance Sheet'!L37-'Balance Sheet'!K37</f>
        <v>0</v>
      </c>
      <c r="M26" s="10">
        <f>'Balance Sheet'!M37-'Balance Sheet'!L37</f>
        <v>0</v>
      </c>
      <c r="N26" s="10">
        <f>'Balance Sheet'!N37-'Balance Sheet'!M37</f>
        <v>0</v>
      </c>
      <c r="O26" s="10">
        <f>'Balance Sheet'!O37-'Balance Sheet'!N37</f>
        <v>0</v>
      </c>
      <c r="P26" s="10">
        <f>'Balance Sheet'!P37-'Balance Sheet'!O37</f>
        <v>0</v>
      </c>
      <c r="Q26" s="10">
        <f>'Balance Sheet'!Q37-'Balance Sheet'!P37</f>
        <v>0</v>
      </c>
    </row>
    <row r="27" spans="2:17" x14ac:dyDescent="0.2">
      <c r="B27" s="11" t="s">
        <v>19</v>
      </c>
      <c r="D27" s="9" t="s">
        <v>91</v>
      </c>
      <c r="E27" s="10">
        <v>592</v>
      </c>
      <c r="F27" s="10">
        <v>-6749</v>
      </c>
      <c r="G27" s="10">
        <f>'Balance Sheet'!G40-'Balance Sheet'!F40</f>
        <v>8167</v>
      </c>
      <c r="H27" s="10">
        <f>'Balance Sheet'!H40-'Balance Sheet'!G40</f>
        <v>0</v>
      </c>
      <c r="I27" s="10">
        <f>'Balance Sheet'!I40-'Balance Sheet'!H40</f>
        <v>0</v>
      </c>
      <c r="J27" s="10">
        <f>'Balance Sheet'!J40-'Balance Sheet'!I40</f>
        <v>0</v>
      </c>
      <c r="K27" s="10">
        <f>'Balance Sheet'!K40-'Balance Sheet'!J40</f>
        <v>0</v>
      </c>
      <c r="L27" s="10">
        <f>'Balance Sheet'!L40-'Balance Sheet'!K40</f>
        <v>0</v>
      </c>
      <c r="M27" s="10">
        <f>'Balance Sheet'!M40-'Balance Sheet'!L40</f>
        <v>0</v>
      </c>
      <c r="N27" s="10">
        <f>'Balance Sheet'!N40-'Balance Sheet'!M40</f>
        <v>0</v>
      </c>
      <c r="O27" s="10">
        <f>'Balance Sheet'!O40-'Balance Sheet'!N40</f>
        <v>0</v>
      </c>
      <c r="P27" s="10">
        <f>'Balance Sheet'!P40-'Balance Sheet'!O40</f>
        <v>0</v>
      </c>
      <c r="Q27" s="10">
        <f>'Balance Sheet'!Q40-'Balance Sheet'!P40</f>
        <v>0</v>
      </c>
    </row>
    <row r="28" spans="2:17" x14ac:dyDescent="0.2">
      <c r="B28" s="11" t="s">
        <v>20</v>
      </c>
      <c r="D28" s="9" t="s">
        <v>91</v>
      </c>
      <c r="E28" s="10">
        <v>6854</v>
      </c>
      <c r="F28" s="10">
        <v>5599</v>
      </c>
      <c r="G28" s="10">
        <f>('Balance Sheet'!G29-'Balance Sheet'!F29)+('Balance Sheet'!G36-'Balance Sheet'!F36)</f>
        <v>25517.665489596537</v>
      </c>
      <c r="H28" s="10">
        <f>('Balance Sheet'!H29-'Balance Sheet'!G29)+('Balance Sheet'!H36-'Balance Sheet'!G36)</f>
        <v>22685.751208323785</v>
      </c>
      <c r="I28" s="10">
        <f>('Balance Sheet'!I29-'Balance Sheet'!H29)+('Balance Sheet'!I36-'Balance Sheet'!H36)</f>
        <v>33250.897338560979</v>
      </c>
      <c r="J28" s="10">
        <f>('Balance Sheet'!J29-'Balance Sheet'!I29)+('Balance Sheet'!J36-'Balance Sheet'!I36)</f>
        <v>27082.129116882184</v>
      </c>
      <c r="K28" s="10">
        <f>('Balance Sheet'!K29-'Balance Sheet'!J29)+('Balance Sheet'!K36-'Balance Sheet'!J36)</f>
        <v>42929.374530724439</v>
      </c>
      <c r="L28" s="10">
        <f>('Balance Sheet'!L29-'Balance Sheet'!K29)+('Balance Sheet'!L36-'Balance Sheet'!K36)</f>
        <v>38012.831916633339</v>
      </c>
      <c r="M28" s="10">
        <f>('Balance Sheet'!M29-'Balance Sheet'!L29)+('Balance Sheet'!M36-'Balance Sheet'!L36)</f>
        <v>46094.555210038212</v>
      </c>
      <c r="N28" s="10">
        <f>('Balance Sheet'!N29-'Balance Sheet'!M29)+('Balance Sheet'!N36-'Balance Sheet'!M36)</f>
        <v>66624.149795959907</v>
      </c>
      <c r="O28" s="10">
        <f>('Balance Sheet'!O29-'Balance Sheet'!N29)+('Balance Sheet'!O36-'Balance Sheet'!N36)</f>
        <v>57495.171870000479</v>
      </c>
      <c r="P28" s="10">
        <f>('Balance Sheet'!P29-'Balance Sheet'!O29)+('Balance Sheet'!P36-'Balance Sheet'!O36)</f>
        <v>60554.643384221672</v>
      </c>
      <c r="Q28" s="10">
        <f>('Balance Sheet'!Q29-'Balance Sheet'!P29)+('Balance Sheet'!Q36-'Balance Sheet'!P36)</f>
        <v>66719.468984288265</v>
      </c>
    </row>
    <row r="29" spans="2:17" x14ac:dyDescent="0.2">
      <c r="B29" s="11"/>
      <c r="D29" s="9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2:17" x14ac:dyDescent="0.2">
      <c r="B30" s="52" t="s">
        <v>21</v>
      </c>
      <c r="C30" s="53"/>
      <c r="D30" s="54" t="s">
        <v>91</v>
      </c>
      <c r="E30" s="55">
        <f>SUM(E6:E28)</f>
        <v>4623</v>
      </c>
      <c r="F30" s="55">
        <f>SUM(F6:F28)</f>
        <v>-18093</v>
      </c>
      <c r="G30" s="55">
        <f t="shared" ref="G30:K30" si="0">SUM(G6:G28)</f>
        <v>175206.31004918457</v>
      </c>
      <c r="H30" s="55">
        <f t="shared" si="0"/>
        <v>89006.20787793491</v>
      </c>
      <c r="I30" s="55">
        <f t="shared" si="0"/>
        <v>215357.84387866812</v>
      </c>
      <c r="J30" s="55">
        <f t="shared" si="0"/>
        <v>371795.51864958176</v>
      </c>
      <c r="K30" s="55">
        <f t="shared" si="0"/>
        <v>624305.77372149169</v>
      </c>
      <c r="L30" s="55">
        <f t="shared" ref="L30:Q30" si="1">SUM(L6:L28)</f>
        <v>855763.21324205946</v>
      </c>
      <c r="M30" s="55">
        <f t="shared" si="1"/>
        <v>1156716.8301454883</v>
      </c>
      <c r="N30" s="55">
        <f t="shared" si="1"/>
        <v>1540744.8287384117</v>
      </c>
      <c r="O30" s="55">
        <f t="shared" si="1"/>
        <v>1822372.3468912221</v>
      </c>
      <c r="P30" s="55">
        <f t="shared" si="1"/>
        <v>2114575.8103117622</v>
      </c>
      <c r="Q30" s="55">
        <f t="shared" si="1"/>
        <v>2435446.0936137931</v>
      </c>
    </row>
    <row r="31" spans="2:17" x14ac:dyDescent="0.2">
      <c r="B31" s="25"/>
      <c r="D31" s="9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2:17" x14ac:dyDescent="0.2">
      <c r="B32" s="7" t="s">
        <v>22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2:17" x14ac:dyDescent="0.2">
      <c r="B33" s="34"/>
      <c r="C33" s="34"/>
      <c r="D33" s="34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2:17" x14ac:dyDescent="0.2">
      <c r="B34" s="34" t="s">
        <v>23</v>
      </c>
      <c r="C34" s="41"/>
      <c r="D34" s="9" t="s">
        <v>91</v>
      </c>
      <c r="E34" s="10">
        <v>-556090</v>
      </c>
      <c r="F34" s="10">
        <v>-144349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</row>
    <row r="35" spans="2:17" x14ac:dyDescent="0.2">
      <c r="B35" s="34" t="s">
        <v>24</v>
      </c>
      <c r="C35" s="41"/>
      <c r="D35" s="9" t="s">
        <v>91</v>
      </c>
      <c r="E35" s="10">
        <v>-2070296</v>
      </c>
      <c r="F35" s="10">
        <v>-2801697</v>
      </c>
      <c r="G35" s="10">
        <f>'Balance Sheet'!G7-'Balance Sheet'!F7</f>
        <v>0</v>
      </c>
      <c r="H35" s="10">
        <f>'Balance Sheet'!H7-'Balance Sheet'!G7</f>
        <v>0</v>
      </c>
      <c r="I35" s="10">
        <f>'Balance Sheet'!I7-'Balance Sheet'!H7</f>
        <v>0</v>
      </c>
      <c r="J35" s="10">
        <f>'Balance Sheet'!J7-'Balance Sheet'!I7</f>
        <v>0</v>
      </c>
      <c r="K35" s="10">
        <f>'Balance Sheet'!K7-'Balance Sheet'!J7</f>
        <v>0</v>
      </c>
      <c r="L35" s="10">
        <f>'Balance Sheet'!L7-'Balance Sheet'!K7</f>
        <v>0</v>
      </c>
      <c r="M35" s="10">
        <f>'Balance Sheet'!M7-'Balance Sheet'!L7</f>
        <v>0</v>
      </c>
      <c r="N35" s="10">
        <f>'Balance Sheet'!N7-'Balance Sheet'!M7</f>
        <v>0</v>
      </c>
      <c r="O35" s="10">
        <f>'Balance Sheet'!O7-'Balance Sheet'!N7</f>
        <v>0</v>
      </c>
      <c r="P35" s="10">
        <f>'Balance Sheet'!P7-'Balance Sheet'!O7</f>
        <v>0</v>
      </c>
      <c r="Q35" s="10">
        <f>'Balance Sheet'!Q7-'Balance Sheet'!P7</f>
        <v>0</v>
      </c>
    </row>
    <row r="36" spans="2:17" x14ac:dyDescent="0.2">
      <c r="B36" s="34" t="s">
        <v>25</v>
      </c>
      <c r="C36" s="41"/>
      <c r="D36" s="9" t="s">
        <v>91</v>
      </c>
      <c r="E36" s="10">
        <v>1104532</v>
      </c>
      <c r="F36" s="10">
        <v>1902474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</row>
    <row r="37" spans="2:17" x14ac:dyDescent="0.2">
      <c r="B37" s="34" t="s">
        <v>26</v>
      </c>
      <c r="C37" s="41"/>
      <c r="D37" s="9" t="s">
        <v>91</v>
      </c>
      <c r="E37" s="10">
        <v>142665</v>
      </c>
      <c r="F37" s="10">
        <v>55744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</row>
    <row r="38" spans="2:17" x14ac:dyDescent="0.2">
      <c r="B38" s="34" t="s">
        <v>129</v>
      </c>
      <c r="C38" s="41"/>
      <c r="D38" s="9" t="s">
        <v>91</v>
      </c>
      <c r="E38" s="10">
        <v>-26495</v>
      </c>
      <c r="F38" s="10">
        <v>-130537</v>
      </c>
      <c r="G38" s="10">
        <f>'Balance Sheet'!F9-'Balance Sheet'!G9-G14</f>
        <v>11225.428999999978</v>
      </c>
      <c r="H38" s="10">
        <f>'Balance Sheet'!G9-'Balance Sheet'!H9-H14</f>
        <v>-86268.451173282388</v>
      </c>
      <c r="I38" s="10">
        <f>'Balance Sheet'!H9-'Balance Sheet'!I9-I14</f>
        <v>-110525.60454552891</v>
      </c>
      <c r="J38" s="10">
        <f>'Balance Sheet'!I9-'Balance Sheet'!J9-J14</f>
        <v>-127616.93843984167</v>
      </c>
      <c r="K38" s="10">
        <f>'Balance Sheet'!J9-'Balance Sheet'!K9-K14</f>
        <v>-159168.91033510049</v>
      </c>
      <c r="L38" s="10">
        <f>'Balance Sheet'!K9-'Balance Sheet'!L9-L14</f>
        <v>-199554.421615389</v>
      </c>
      <c r="M38" s="10">
        <f>'Balance Sheet'!L9-'Balance Sheet'!M9-M14</f>
        <v>-251340.57242323598</v>
      </c>
      <c r="N38" s="10">
        <f>'Balance Sheet'!M9-'Balance Sheet'!N9-N14</f>
        <v>-252240.37516269821</v>
      </c>
      <c r="O38" s="10">
        <f>'Balance Sheet'!N9-'Balance Sheet'!O9-O14</f>
        <v>-301241.32904994948</v>
      </c>
      <c r="P38" s="10">
        <f>'Balance Sheet'!O9-'Balance Sheet'!P9-P14</f>
        <v>-355705.42518735112</v>
      </c>
      <c r="Q38" s="10">
        <f>'Balance Sheet'!P9-'Balance Sheet'!Q9-Q14</f>
        <v>-386601.07857512601</v>
      </c>
    </row>
    <row r="39" spans="2:17" x14ac:dyDescent="0.2">
      <c r="B39" s="34" t="s">
        <v>27</v>
      </c>
      <c r="C39" s="41"/>
      <c r="D39" s="9" t="s">
        <v>91</v>
      </c>
      <c r="E39" s="10">
        <v>-18902</v>
      </c>
      <c r="F39" s="10">
        <v>-5377</v>
      </c>
      <c r="G39" s="10">
        <f>-(Assumptions!I59)</f>
        <v>-9990</v>
      </c>
      <c r="H39" s="10">
        <f>-(Assumptions!J59)</f>
        <v>-13796.061428135001</v>
      </c>
      <c r="I39" s="10">
        <f>-(Assumptions!K59)</f>
        <v>-19374.671395643527</v>
      </c>
      <c r="J39" s="10">
        <f>-(Assumptions!L59)</f>
        <v>-23918.327282415157</v>
      </c>
      <c r="K39" s="10">
        <f>-(Assumptions!M59)</f>
        <v>-31120.726490399073</v>
      </c>
      <c r="L39" s="10">
        <f>-(Assumptions!N59)</f>
        <v>-37498.261534466379</v>
      </c>
      <c r="M39" s="10">
        <f>-(Assumptions!O59)</f>
        <v>-45231.693282919754</v>
      </c>
      <c r="N39" s="10">
        <f>-(Assumptions!P59)</f>
        <v>-56409.441129667277</v>
      </c>
      <c r="O39" s="10">
        <f>-(Assumptions!Q59)</f>
        <v>-66055.590994790939</v>
      </c>
      <c r="P39" s="10">
        <f>-(Assumptions!R59)</f>
        <v>-76215.038233839878</v>
      </c>
      <c r="Q39" s="10">
        <f>-(Assumptions!S59)</f>
        <v>-87408.77808732001</v>
      </c>
    </row>
    <row r="40" spans="2:17" x14ac:dyDescent="0.2">
      <c r="B40" s="34" t="s">
        <v>28</v>
      </c>
      <c r="C40" s="41"/>
      <c r="D40" s="9" t="s">
        <v>91</v>
      </c>
      <c r="E40" s="10">
        <v>-2304</v>
      </c>
      <c r="F40" s="10">
        <v>-10259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</row>
    <row r="41" spans="2:17" x14ac:dyDescent="0.2">
      <c r="B41" s="34" t="s">
        <v>29</v>
      </c>
      <c r="C41" s="41"/>
      <c r="D41" s="9" t="s">
        <v>91</v>
      </c>
      <c r="E41" s="10">
        <v>0</v>
      </c>
      <c r="F41" s="10">
        <v>6699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</row>
    <row r="42" spans="2:17" x14ac:dyDescent="0.2">
      <c r="B42" s="34"/>
      <c r="C42" s="41"/>
      <c r="D42" s="9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2:17" x14ac:dyDescent="0.2">
      <c r="B43" s="52" t="s">
        <v>30</v>
      </c>
      <c r="C43" s="56"/>
      <c r="D43" s="54" t="s">
        <v>91</v>
      </c>
      <c r="E43" s="55">
        <f>SUM(E34:E41)</f>
        <v>-1426890</v>
      </c>
      <c r="F43" s="55">
        <f>SUM(F34:F41)</f>
        <v>-1127302</v>
      </c>
      <c r="G43" s="55">
        <f t="shared" ref="G43:K43" si="2">SUM(G34:G41)</f>
        <v>1235.4289999999783</v>
      </c>
      <c r="H43" s="55">
        <f t="shared" si="2"/>
        <v>-100064.51260141739</v>
      </c>
      <c r="I43" s="55">
        <f t="shared" si="2"/>
        <v>-129900.27594117244</v>
      </c>
      <c r="J43" s="55">
        <f t="shared" si="2"/>
        <v>-151535.26572225682</v>
      </c>
      <c r="K43" s="55">
        <f t="shared" si="2"/>
        <v>-190289.63682549956</v>
      </c>
      <c r="L43" s="55">
        <f t="shared" ref="L43:Q43" si="3">SUM(L34:L41)</f>
        <v>-237052.68314985538</v>
      </c>
      <c r="M43" s="55">
        <f t="shared" si="3"/>
        <v>-296572.26570615574</v>
      </c>
      <c r="N43" s="55">
        <f t="shared" si="3"/>
        <v>-308649.81629236549</v>
      </c>
      <c r="O43" s="55">
        <f t="shared" si="3"/>
        <v>-367296.92004474043</v>
      </c>
      <c r="P43" s="55">
        <f t="shared" si="3"/>
        <v>-431920.46342119097</v>
      </c>
      <c r="Q43" s="55">
        <f t="shared" si="3"/>
        <v>-474009.85666244605</v>
      </c>
    </row>
    <row r="44" spans="2:17" x14ac:dyDescent="0.2">
      <c r="B44" s="25"/>
      <c r="C44" s="41"/>
      <c r="D44" s="9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2:17" x14ac:dyDescent="0.2">
      <c r="B45" s="7" t="s">
        <v>31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2:17" x14ac:dyDescent="0.2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</row>
    <row r="47" spans="2:17" x14ac:dyDescent="0.2">
      <c r="B47" s="34" t="s">
        <v>32</v>
      </c>
      <c r="D47" s="9" t="s">
        <v>91</v>
      </c>
      <c r="E47" s="10">
        <v>0</v>
      </c>
      <c r="F47" s="10">
        <v>1341122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</row>
    <row r="48" spans="2:17" x14ac:dyDescent="0.2">
      <c r="B48" s="34" t="s">
        <v>33</v>
      </c>
      <c r="D48" s="9" t="s">
        <v>91</v>
      </c>
      <c r="E48" s="10">
        <v>1129379</v>
      </c>
      <c r="F48" s="10">
        <v>560075</v>
      </c>
      <c r="G48" s="10">
        <f>'Balance Sheet'!G39-'Balance Sheet'!F39</f>
        <v>3412</v>
      </c>
      <c r="H48" s="10">
        <f>'Balance Sheet'!H39-'Balance Sheet'!G39</f>
        <v>0</v>
      </c>
      <c r="I48" s="10">
        <f>'Balance Sheet'!I39-'Balance Sheet'!H39</f>
        <v>0</v>
      </c>
      <c r="J48" s="10">
        <f>'Balance Sheet'!J39-'Balance Sheet'!I39</f>
        <v>0</v>
      </c>
      <c r="K48" s="10">
        <f>'Balance Sheet'!K39-'Balance Sheet'!J39</f>
        <v>0</v>
      </c>
      <c r="L48" s="10">
        <f>'Balance Sheet'!L39-'Balance Sheet'!K39</f>
        <v>0</v>
      </c>
      <c r="M48" s="10">
        <f>'Balance Sheet'!M39-'Balance Sheet'!L39</f>
        <v>0</v>
      </c>
      <c r="N48" s="10">
        <f>'Balance Sheet'!N39-'Balance Sheet'!M39</f>
        <v>0</v>
      </c>
      <c r="O48" s="10">
        <f>'Balance Sheet'!O39-'Balance Sheet'!N39</f>
        <v>0</v>
      </c>
      <c r="P48" s="10">
        <f>'Balance Sheet'!P39-'Balance Sheet'!O39</f>
        <v>0</v>
      </c>
      <c r="Q48" s="10">
        <f>'Balance Sheet'!Q39-'Balance Sheet'!P39</f>
        <v>0</v>
      </c>
    </row>
    <row r="49" spans="2:17" x14ac:dyDescent="0.2">
      <c r="B49" s="34" t="s">
        <v>34</v>
      </c>
      <c r="D49" s="9" t="s">
        <v>91</v>
      </c>
      <c r="E49" s="10">
        <v>-87860</v>
      </c>
      <c r="F49" s="10">
        <v>-37893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</row>
    <row r="50" spans="2:17" x14ac:dyDescent="0.2">
      <c r="B50" s="34" t="s">
        <v>35</v>
      </c>
      <c r="D50" s="9" t="s">
        <v>91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</row>
    <row r="51" spans="2:17" x14ac:dyDescent="0.2">
      <c r="B51" s="34" t="s">
        <v>36</v>
      </c>
      <c r="D51" s="9" t="s">
        <v>91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</row>
    <row r="52" spans="2:17" x14ac:dyDescent="0.2">
      <c r="B52" s="34" t="s">
        <v>37</v>
      </c>
      <c r="D52" s="9" t="s">
        <v>91</v>
      </c>
      <c r="E52" s="10">
        <v>563291</v>
      </c>
      <c r="F52" s="10">
        <v>970889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</row>
    <row r="53" spans="2:17" x14ac:dyDescent="0.2">
      <c r="B53" s="34" t="s">
        <v>38</v>
      </c>
      <c r="D53" s="9" t="s">
        <v>91</v>
      </c>
      <c r="E53" s="10">
        <v>0</v>
      </c>
      <c r="F53" s="10">
        <v>37500</v>
      </c>
      <c r="G53" s="10">
        <f>'Balance Sheet'!G31-'Balance Sheet'!F31</f>
        <v>0</v>
      </c>
      <c r="H53" s="10">
        <f>'Balance Sheet'!H31-'Balance Sheet'!G31</f>
        <v>0</v>
      </c>
      <c r="I53" s="10">
        <f>'Balance Sheet'!I31-'Balance Sheet'!H31</f>
        <v>0</v>
      </c>
      <c r="J53" s="10">
        <f>'Balance Sheet'!J31-'Balance Sheet'!I31</f>
        <v>0</v>
      </c>
      <c r="K53" s="10">
        <f>'Balance Sheet'!K31-'Balance Sheet'!J31</f>
        <v>0</v>
      </c>
      <c r="L53" s="10">
        <f>'Balance Sheet'!L31-'Balance Sheet'!K31</f>
        <v>0</v>
      </c>
      <c r="M53" s="10">
        <f>'Balance Sheet'!M31-'Balance Sheet'!L31</f>
        <v>0</v>
      </c>
      <c r="N53" s="10">
        <f>'Balance Sheet'!N31-'Balance Sheet'!M31</f>
        <v>0</v>
      </c>
      <c r="O53" s="10">
        <f>'Balance Sheet'!O31-'Balance Sheet'!N31</f>
        <v>0</v>
      </c>
      <c r="P53" s="10">
        <f>'Balance Sheet'!P31-'Balance Sheet'!O31</f>
        <v>0</v>
      </c>
      <c r="Q53" s="10">
        <f>'Balance Sheet'!Q31-'Balance Sheet'!P31</f>
        <v>0</v>
      </c>
    </row>
    <row r="54" spans="2:17" x14ac:dyDescent="0.2">
      <c r="B54" s="34" t="s">
        <v>39</v>
      </c>
      <c r="D54" s="9" t="s">
        <v>91</v>
      </c>
      <c r="E54" s="10">
        <v>-2300</v>
      </c>
      <c r="F54" s="10">
        <v>-40000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</row>
    <row r="55" spans="2:17" x14ac:dyDescent="0.2">
      <c r="B55" s="34" t="s">
        <v>40</v>
      </c>
      <c r="D55" s="9" t="s">
        <v>91</v>
      </c>
      <c r="E55" s="10">
        <v>28209</v>
      </c>
      <c r="F55" s="10">
        <v>34024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</row>
    <row r="56" spans="2:17" x14ac:dyDescent="0.2">
      <c r="B56" s="34" t="s">
        <v>41</v>
      </c>
      <c r="D56" s="9" t="s">
        <v>91</v>
      </c>
      <c r="E56" s="10">
        <v>8864</v>
      </c>
      <c r="F56" s="10">
        <v>12849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</row>
    <row r="57" spans="2:17" x14ac:dyDescent="0.2">
      <c r="B57" s="34"/>
      <c r="D57" s="9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 spans="2:17" x14ac:dyDescent="0.2">
      <c r="B58" s="52" t="s">
        <v>42</v>
      </c>
      <c r="C58" s="53"/>
      <c r="D58" s="54" t="s">
        <v>91</v>
      </c>
      <c r="E58" s="55">
        <f>SUM(E47:E56)</f>
        <v>1639583</v>
      </c>
      <c r="F58" s="55">
        <f>SUM(F47:F56)</f>
        <v>2878566</v>
      </c>
      <c r="G58" s="55">
        <f t="shared" ref="G58:Q58" si="4">SUM(G47:G56)</f>
        <v>3412</v>
      </c>
      <c r="H58" s="55">
        <f t="shared" si="4"/>
        <v>0</v>
      </c>
      <c r="I58" s="55">
        <f t="shared" si="4"/>
        <v>0</v>
      </c>
      <c r="J58" s="55">
        <f t="shared" si="4"/>
        <v>0</v>
      </c>
      <c r="K58" s="55">
        <f t="shared" si="4"/>
        <v>0</v>
      </c>
      <c r="L58" s="55">
        <f t="shared" si="4"/>
        <v>0</v>
      </c>
      <c r="M58" s="55">
        <f t="shared" si="4"/>
        <v>0</v>
      </c>
      <c r="N58" s="55">
        <f t="shared" si="4"/>
        <v>0</v>
      </c>
      <c r="O58" s="55">
        <f t="shared" si="4"/>
        <v>0</v>
      </c>
      <c r="P58" s="55">
        <f t="shared" si="4"/>
        <v>0</v>
      </c>
      <c r="Q58" s="55">
        <f t="shared" si="4"/>
        <v>0</v>
      </c>
    </row>
    <row r="59" spans="2:17" x14ac:dyDescent="0.2">
      <c r="B59" s="57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spans="2:17" x14ac:dyDescent="0.2">
      <c r="B60" s="58" t="s">
        <v>43</v>
      </c>
      <c r="E60" s="10">
        <v>0</v>
      </c>
      <c r="F60" s="10">
        <v>-149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</row>
    <row r="61" spans="2:17" x14ac:dyDescent="0.2">
      <c r="B61" s="58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spans="2:17" x14ac:dyDescent="0.2">
      <c r="B62" s="59" t="s">
        <v>44</v>
      </c>
      <c r="C62" s="38"/>
      <c r="D62" s="38"/>
      <c r="E62" s="50">
        <f>E30+E43+E58+E60</f>
        <v>217316</v>
      </c>
      <c r="F62" s="50">
        <f t="shared" ref="F62:Q62" si="5">SUM(F30+F43+F58+F60)</f>
        <v>1733022</v>
      </c>
      <c r="G62" s="50">
        <f t="shared" si="5"/>
        <v>179853.73904918454</v>
      </c>
      <c r="H62" s="50">
        <f t="shared" si="5"/>
        <v>-11058.304723482477</v>
      </c>
      <c r="I62" s="50">
        <f t="shared" si="5"/>
        <v>85457.567937495682</v>
      </c>
      <c r="J62" s="50">
        <f t="shared" si="5"/>
        <v>220260.25292732494</v>
      </c>
      <c r="K62" s="50">
        <f t="shared" si="5"/>
        <v>434016.13689599209</v>
      </c>
      <c r="L62" s="50">
        <f t="shared" si="5"/>
        <v>618710.53009220411</v>
      </c>
      <c r="M62" s="50">
        <f t="shared" si="5"/>
        <v>860144.56443933258</v>
      </c>
      <c r="N62" s="50">
        <f t="shared" si="5"/>
        <v>1232095.0124460461</v>
      </c>
      <c r="O62" s="50">
        <f t="shared" si="5"/>
        <v>1455075.4268464816</v>
      </c>
      <c r="P62" s="50">
        <f t="shared" si="5"/>
        <v>1682655.3468905711</v>
      </c>
      <c r="Q62" s="50">
        <f t="shared" si="5"/>
        <v>1961436.236951347</v>
      </c>
    </row>
    <row r="63" spans="2:17" x14ac:dyDescent="0.2"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2:17" x14ac:dyDescent="0.2"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7" spans="6:6" x14ac:dyDescent="0.2">
      <c r="F67" s="60"/>
    </row>
  </sheetData>
  <mergeCells count="2">
    <mergeCell ref="E2:F2"/>
    <mergeCell ref="G2:Q2"/>
  </mergeCells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29352-8F53-EF44-8CC5-AD5A14387706}">
  <dimension ref="A1"/>
  <sheetViews>
    <sheetView showGridLines="0" workbookViewId="0">
      <selection activeCell="F27" sqref="F27"/>
    </sheetView>
  </sheetViews>
  <sheetFormatPr baseColWidth="10" defaultRowHeight="1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7600-F058-8D4B-808B-17D965F463A7}">
  <dimension ref="B2:X70"/>
  <sheetViews>
    <sheetView showGridLines="0" tabSelected="1" zoomScale="68" zoomScaleNormal="119" workbookViewId="0">
      <selection activeCell="F57" sqref="F57"/>
    </sheetView>
  </sheetViews>
  <sheetFormatPr baseColWidth="10" defaultRowHeight="16" x14ac:dyDescent="0.2"/>
  <cols>
    <col min="1" max="1" width="10.83203125" style="8"/>
    <col min="2" max="2" width="42.33203125" style="8" bestFit="1" customWidth="1"/>
    <col min="3" max="3" width="14" style="8" bestFit="1" customWidth="1"/>
    <col min="4" max="4" width="12" style="8" customWidth="1"/>
    <col min="5" max="5" width="10.83203125" style="8"/>
    <col min="6" max="6" width="17.33203125" style="8" bestFit="1" customWidth="1"/>
    <col min="7" max="7" width="12.6640625" style="8" customWidth="1"/>
    <col min="8" max="8" width="12.33203125" style="8" bestFit="1" customWidth="1"/>
    <col min="9" max="9" width="11.83203125" style="8" bestFit="1" customWidth="1"/>
    <col min="10" max="10" width="11" style="8" bestFit="1" customWidth="1"/>
    <col min="11" max="11" width="12.6640625" style="8" bestFit="1" customWidth="1"/>
    <col min="12" max="12" width="13.33203125" style="8" customWidth="1"/>
    <col min="13" max="13" width="11" style="8" bestFit="1" customWidth="1"/>
    <col min="14" max="14" width="12.33203125" style="8" bestFit="1" customWidth="1"/>
    <col min="15" max="18" width="13.5" style="8" bestFit="1" customWidth="1"/>
    <col min="19" max="21" width="14.6640625" style="8" bestFit="1" customWidth="1"/>
    <col min="22" max="16384" width="10.83203125" style="8"/>
  </cols>
  <sheetData>
    <row r="2" spans="2:18" x14ac:dyDescent="0.2">
      <c r="B2" s="1"/>
      <c r="C2" s="1"/>
      <c r="D2" s="1"/>
      <c r="E2" s="118" t="s">
        <v>76</v>
      </c>
      <c r="F2" s="119"/>
      <c r="G2" s="117" t="s">
        <v>77</v>
      </c>
      <c r="H2" s="118"/>
      <c r="I2" s="118"/>
      <c r="J2" s="118"/>
      <c r="K2" s="118"/>
      <c r="L2" s="118"/>
      <c r="M2" s="118"/>
      <c r="N2" s="118"/>
      <c r="O2" s="118"/>
      <c r="P2" s="118"/>
      <c r="Q2" s="118"/>
    </row>
    <row r="3" spans="2:18" x14ac:dyDescent="0.2">
      <c r="B3" s="51" t="s">
        <v>149</v>
      </c>
      <c r="C3" s="1"/>
      <c r="D3" s="27" t="s">
        <v>79</v>
      </c>
      <c r="E3" s="5" t="s">
        <v>81</v>
      </c>
      <c r="F3" s="61" t="s">
        <v>82</v>
      </c>
      <c r="G3" s="5" t="s">
        <v>83</v>
      </c>
      <c r="H3" s="4" t="s">
        <v>84</v>
      </c>
      <c r="I3" s="4" t="s">
        <v>85</v>
      </c>
      <c r="J3" s="4" t="s">
        <v>86</v>
      </c>
      <c r="K3" s="4" t="s">
        <v>88</v>
      </c>
      <c r="L3" s="5" t="s">
        <v>117</v>
      </c>
      <c r="M3" s="4" t="s">
        <v>118</v>
      </c>
      <c r="N3" s="4" t="s">
        <v>119</v>
      </c>
      <c r="O3" s="4" t="s">
        <v>120</v>
      </c>
      <c r="P3" s="5" t="s">
        <v>121</v>
      </c>
      <c r="Q3" s="5" t="s">
        <v>122</v>
      </c>
    </row>
    <row r="4" spans="2:18" x14ac:dyDescent="0.2">
      <c r="B4" s="57"/>
      <c r="D4" s="9"/>
      <c r="G4" s="62"/>
      <c r="H4" s="62"/>
      <c r="I4" s="62"/>
      <c r="J4" s="62"/>
      <c r="K4" s="62"/>
    </row>
    <row r="5" spans="2:18" x14ac:dyDescent="0.2">
      <c r="B5" s="57" t="s">
        <v>114</v>
      </c>
      <c r="D5" s="9" t="s">
        <v>136</v>
      </c>
      <c r="G5" s="10">
        <f>'Income Statement'!H26</f>
        <v>-151274.82273714873</v>
      </c>
      <c r="H5" s="10">
        <f>'Income Statement'!I26</f>
        <v>-49245.841784563614</v>
      </c>
      <c r="I5" s="10">
        <f>'Income Statement'!J26</f>
        <v>118930.11808067327</v>
      </c>
      <c r="J5" s="10">
        <f>'Income Statement'!K26</f>
        <v>341293.57466885424</v>
      </c>
      <c r="K5" s="10">
        <f>'Income Statement'!L26</f>
        <v>623795.4165071696</v>
      </c>
      <c r="L5" s="10">
        <f>'Income Statement'!M26</f>
        <v>930327.86941224942</v>
      </c>
      <c r="M5" s="10">
        <f>'Income Statement'!N26</f>
        <v>1339902.6468639807</v>
      </c>
      <c r="N5" s="10">
        <f>'Income Statement'!O26</f>
        <v>1780779.6907165297</v>
      </c>
      <c r="O5" s="10">
        <f>'Income Statement'!P26</f>
        <v>2112239.2064045686</v>
      </c>
      <c r="P5" s="10">
        <f>'Income Statement'!Q26</f>
        <v>2455706.0996899102</v>
      </c>
      <c r="Q5" s="10">
        <f>'Income Statement'!R26</f>
        <v>2829123.3131491533</v>
      </c>
    </row>
    <row r="6" spans="2:18" x14ac:dyDescent="0.2">
      <c r="B6" s="77" t="s">
        <v>150</v>
      </c>
      <c r="C6" s="78"/>
      <c r="D6" s="79" t="s">
        <v>113</v>
      </c>
      <c r="E6" s="78"/>
      <c r="F6" s="78"/>
      <c r="G6" s="80">
        <v>0.21</v>
      </c>
      <c r="H6" s="80">
        <v>0.21</v>
      </c>
      <c r="I6" s="80">
        <v>0.21</v>
      </c>
      <c r="J6" s="80">
        <v>0.21</v>
      </c>
      <c r="K6" s="80">
        <v>0.21</v>
      </c>
      <c r="L6" s="80">
        <v>0.21</v>
      </c>
      <c r="M6" s="80">
        <v>0.21</v>
      </c>
      <c r="N6" s="80">
        <v>0.21</v>
      </c>
      <c r="O6" s="80">
        <v>0.21</v>
      </c>
      <c r="P6" s="80">
        <v>0.21</v>
      </c>
      <c r="Q6" s="80">
        <v>0.21</v>
      </c>
    </row>
    <row r="7" spans="2:18" x14ac:dyDescent="0.2">
      <c r="B7" s="57" t="s">
        <v>151</v>
      </c>
      <c r="D7" s="9" t="s">
        <v>136</v>
      </c>
      <c r="G7" s="60">
        <f>G5*(1-G6)</f>
        <v>-119507.1099623475</v>
      </c>
      <c r="H7" s="60">
        <f>H5*(1-H6)</f>
        <v>-38904.215009805259</v>
      </c>
      <c r="I7" s="60">
        <f t="shared" ref="I7:Q7" si="0">I5*(1-I6)</f>
        <v>93954.793283731895</v>
      </c>
      <c r="J7" s="60">
        <f t="shared" si="0"/>
        <v>269621.92398839485</v>
      </c>
      <c r="K7" s="60">
        <f t="shared" si="0"/>
        <v>492798.379040664</v>
      </c>
      <c r="L7" s="60">
        <f t="shared" si="0"/>
        <v>734959.01683567709</v>
      </c>
      <c r="M7" s="60">
        <f t="shared" si="0"/>
        <v>1058523.0910225448</v>
      </c>
      <c r="N7" s="60">
        <f t="shared" si="0"/>
        <v>1406815.9556660585</v>
      </c>
      <c r="O7" s="60">
        <f t="shared" si="0"/>
        <v>1668668.9730596093</v>
      </c>
      <c r="P7" s="60">
        <f t="shared" si="0"/>
        <v>1940007.8187550292</v>
      </c>
      <c r="Q7" s="60">
        <f t="shared" si="0"/>
        <v>2235007.417387831</v>
      </c>
    </row>
    <row r="8" spans="2:18" x14ac:dyDescent="0.2">
      <c r="B8" s="57"/>
      <c r="D8" s="9"/>
      <c r="G8" s="60"/>
      <c r="H8" s="60"/>
      <c r="I8" s="60"/>
      <c r="J8" s="60"/>
      <c r="K8" s="60"/>
      <c r="O8" s="10"/>
      <c r="P8" s="10"/>
      <c r="Q8" s="10"/>
    </row>
    <row r="9" spans="2:18" x14ac:dyDescent="0.2">
      <c r="B9" s="57" t="s">
        <v>153</v>
      </c>
    </row>
    <row r="10" spans="2:18" x14ac:dyDescent="0.2">
      <c r="B10" s="11" t="s">
        <v>152</v>
      </c>
      <c r="D10" s="9"/>
      <c r="G10" s="10">
        <f>+'Cash Flow Statement'!G10+'Cash Flow Statement'!F9</f>
        <v>81341.463007837519</v>
      </c>
      <c r="H10" s="10">
        <f>+'Cash Flow Statement'!H10+'Cash Flow Statement'!G9</f>
        <v>86063.731642409402</v>
      </c>
      <c r="I10" s="10">
        <f>+'Cash Flow Statement'!I10+'Cash Flow Statement'!H9</f>
        <v>87961.712680814933</v>
      </c>
      <c r="J10" s="10">
        <f>+'Cash Flow Statement'!J10+'Cash Flow Statement'!I9</f>
        <v>71541.412469085117</v>
      </c>
      <c r="K10" s="10">
        <f>+'Cash Flow Statement'!K10+'Cash Flow Statement'!J9</f>
        <v>73527.963579726711</v>
      </c>
      <c r="L10" s="10">
        <f>+'Cash Flow Statement'!L10+'Cash Flow Statement'!K9</f>
        <v>74089.659615346871</v>
      </c>
      <c r="M10" s="10">
        <f>+'Cash Flow Statement'!M10+'Cash Flow Statement'!L9</f>
        <v>68770.21822048683</v>
      </c>
      <c r="N10" s="10">
        <f>+'Cash Flow Statement'!N10+'Cash Flow Statement'!M9</f>
        <v>43575.579212017896</v>
      </c>
      <c r="O10" s="10">
        <f>+'Cash Flow Statement'!O10+'Cash Flow Statement'!N9</f>
        <v>43462.071863633057</v>
      </c>
      <c r="P10" s="10">
        <f>+'Cash Flow Statement'!P10+'Cash Flow Statement'!O9</f>
        <v>43608.58782826431</v>
      </c>
      <c r="Q10" s="10">
        <f>+'Cash Flow Statement'!Q10+'Cash Flow Statement'!P9</f>
        <v>49279.049961129087</v>
      </c>
    </row>
    <row r="11" spans="2:18" x14ac:dyDescent="0.2">
      <c r="B11" s="11" t="s">
        <v>154</v>
      </c>
      <c r="G11" s="10">
        <f>('Balance Sheet'!G7+'Balance Sheet'!G8+'Balance Sheet'!G9+'Balance Sheet'!G10-'Balance Sheet'!G27-'Balance Sheet'!G28-'Balance Sheet'!G29-'Balance Sheet'!G30)-('Balance Sheet'!F7+'Balance Sheet'!F8+'Balance Sheet'!F9+'Balance Sheet'!F10-'Balance Sheet'!F27-'Balance Sheet'!F28-'Balance Sheet'!F29-'Balance Sheet'!F30)</f>
        <v>-233803.20374467899</v>
      </c>
      <c r="H11" s="10">
        <f>('Balance Sheet'!H7+'Balance Sheet'!H8+'Balance Sheet'!H9+'Balance Sheet'!H10-'Balance Sheet'!H27-'Balance Sheet'!H28-'Balance Sheet'!H29-'Balance Sheet'!H30)-('Balance Sheet'!G7+'Balance Sheet'!G8+'Balance Sheet'!G9+'Balance Sheet'!G10-'Balance Sheet'!G27-'Balance Sheet'!G28-'Balance Sheet'!G29-'Balance Sheet'!G30)</f>
        <v>24026.14215138345</v>
      </c>
      <c r="I11" s="10">
        <f>('Balance Sheet'!I7+'Balance Sheet'!I8+'Balance Sheet'!I9+'Balance Sheet'!I10-'Balance Sheet'!I27-'Balance Sheet'!I28-'Balance Sheet'!I29-'Balance Sheet'!I30)-('Balance Sheet'!H7+'Balance Sheet'!H8+'Balance Sheet'!H9+'Balance Sheet'!H10-'Balance Sheet'!H27-'Balance Sheet'!H28-'Balance Sheet'!H29-'Balance Sheet'!H30)</f>
        <v>23675.470425246283</v>
      </c>
      <c r="J11" s="10">
        <f>('Balance Sheet'!J7+'Balance Sheet'!J8+'Balance Sheet'!J9+'Balance Sheet'!J10-'Balance Sheet'!J27-'Balance Sheet'!J28-'Balance Sheet'!J29-'Balance Sheet'!J30)-('Balance Sheet'!I7+'Balance Sheet'!I8+'Balance Sheet'!I9+'Balance Sheet'!I10-'Balance Sheet'!I27-'Balance Sheet'!I28-'Balance Sheet'!I29-'Balance Sheet'!I30)</f>
        <v>67071.118887660559</v>
      </c>
      <c r="K11" s="10">
        <f>('Balance Sheet'!K7+'Balance Sheet'!K8+'Balance Sheet'!K9+'Balance Sheet'!K10-'Balance Sheet'!K27-'Balance Sheet'!K28-'Balance Sheet'!K29-'Balance Sheet'!K30)-('Balance Sheet'!J7+'Balance Sheet'!J8+'Balance Sheet'!J9+'Balance Sheet'!J10-'Balance Sheet'!J27-'Balance Sheet'!J28-'Balance Sheet'!J29-'Balance Sheet'!J30)</f>
        <v>53737.252771165688</v>
      </c>
      <c r="L11" s="10">
        <f>('Balance Sheet'!L7+'Balance Sheet'!L8+'Balance Sheet'!L9+'Balance Sheet'!L10-'Balance Sheet'!L27-'Balance Sheet'!L28-'Balance Sheet'!L29-'Balance Sheet'!L30)-('Balance Sheet'!K7+'Balance Sheet'!K8+'Balance Sheet'!K9+'Balance Sheet'!K10-'Balance Sheet'!K27-'Balance Sheet'!K28-'Balance Sheet'!K29-'Balance Sheet'!K30)</f>
        <v>103948.51578625105</v>
      </c>
      <c r="M11" s="10">
        <f>('Balance Sheet'!M7+'Balance Sheet'!M8+'Balance Sheet'!M9+'Balance Sheet'!M10-'Balance Sheet'!M27-'Balance Sheet'!M28-'Balance Sheet'!M29-'Balance Sheet'!M30)-('Balance Sheet'!L7+'Balance Sheet'!L8+'Balance Sheet'!L9+'Balance Sheet'!L10-'Balance Sheet'!L27-'Balance Sheet'!L28-'Balance Sheet'!L29-'Balance Sheet'!L30)</f>
        <v>142974.959966572</v>
      </c>
      <c r="N11" s="10">
        <f>('Balance Sheet'!N7+'Balance Sheet'!N8+'Balance Sheet'!N9+'Balance Sheet'!N10-'Balance Sheet'!N27-'Balance Sheet'!N28-'Balance Sheet'!N29-'Balance Sheet'!N30)-('Balance Sheet'!M7+'Balance Sheet'!M8+'Balance Sheet'!M9+'Balance Sheet'!M10-'Balance Sheet'!M27-'Balance Sheet'!M28-'Balance Sheet'!M29-'Balance Sheet'!M30)</f>
        <v>87385.850016758079</v>
      </c>
      <c r="O11" s="10">
        <f>('Balance Sheet'!O7+'Balance Sheet'!O8+'Balance Sheet'!O9+'Balance Sheet'!O10-'Balance Sheet'!O27-'Balance Sheet'!O28-'Balance Sheet'!O29-'Balance Sheet'!O30)-('Balance Sheet'!N7+'Balance Sheet'!N8+'Balance Sheet'!N9+'Balance Sheet'!N10-'Balance Sheet'!N27-'Balance Sheet'!N28-'Balance Sheet'!N29-'Balance Sheet'!N30)</f>
        <v>126021.99734079489</v>
      </c>
      <c r="P11" s="10">
        <f>('Balance Sheet'!P7+'Balance Sheet'!P8+'Balance Sheet'!P9+'Balance Sheet'!P10-'Balance Sheet'!P27-'Balance Sheet'!P28-'Balance Sheet'!P29-'Balance Sheet'!P30)-('Balance Sheet'!O7+'Balance Sheet'!O8+'Balance Sheet'!O9+'Balance Sheet'!O10-'Balance Sheet'!O27-'Balance Sheet'!O28-'Balance Sheet'!O29-'Balance Sheet'!O30)</f>
        <v>161576.40071095107</v>
      </c>
      <c r="Q11" s="10">
        <f>('Balance Sheet'!Q7+'Balance Sheet'!Q8+'Balance Sheet'!Q9+'Balance Sheet'!Q10-'Balance Sheet'!Q27-'Balance Sheet'!Q28-'Balance Sheet'!Q29-'Balance Sheet'!Q30)-('Balance Sheet'!P7+'Balance Sheet'!P8+'Balance Sheet'!P9+'Balance Sheet'!P10-'Balance Sheet'!P27-'Balance Sheet'!P28-'Balance Sheet'!P29-'Balance Sheet'!P30)</f>
        <v>165840.78559512855</v>
      </c>
    </row>
    <row r="12" spans="2:18" x14ac:dyDescent="0.2">
      <c r="B12" s="11" t="s">
        <v>155</v>
      </c>
      <c r="G12" s="60">
        <f>-1*'Cash Flow Statement'!G39</f>
        <v>9990</v>
      </c>
      <c r="H12" s="60">
        <f>-1*'Cash Flow Statement'!H39</f>
        <v>13796.061428135001</v>
      </c>
      <c r="I12" s="60">
        <f>-1*'Cash Flow Statement'!I39</f>
        <v>19374.671395643527</v>
      </c>
      <c r="J12" s="60">
        <f>-1*'Cash Flow Statement'!J39</f>
        <v>23918.327282415157</v>
      </c>
      <c r="K12" s="60">
        <f>-1*'Cash Flow Statement'!K39</f>
        <v>31120.726490399073</v>
      </c>
      <c r="L12" s="60">
        <f>-1*'Cash Flow Statement'!L39</f>
        <v>37498.261534466379</v>
      </c>
      <c r="M12" s="60">
        <f>-1*'Cash Flow Statement'!M39</f>
        <v>45231.693282919754</v>
      </c>
      <c r="N12" s="60">
        <f>-1*'Cash Flow Statement'!N39</f>
        <v>56409.441129667277</v>
      </c>
      <c r="O12" s="60">
        <f>-1*'Cash Flow Statement'!O39</f>
        <v>66055.590994790939</v>
      </c>
      <c r="P12" s="60">
        <f>-1*'Cash Flow Statement'!P39</f>
        <v>76215.038233839878</v>
      </c>
      <c r="Q12" s="60">
        <f>-1*'Cash Flow Statement'!Q39</f>
        <v>87408.77808732001</v>
      </c>
    </row>
    <row r="13" spans="2:18" x14ac:dyDescent="0.2">
      <c r="B13" s="63" t="s">
        <v>115</v>
      </c>
      <c r="C13" s="64"/>
      <c r="D13" s="64"/>
      <c r="E13" s="64"/>
      <c r="F13" s="64"/>
      <c r="G13" s="65">
        <f>G7+G10-G11-G12</f>
        <v>185647.55679016901</v>
      </c>
      <c r="H13" s="65">
        <f>H7+H10-H11-H12</f>
        <v>9337.3130530856924</v>
      </c>
      <c r="I13" s="65">
        <f t="shared" ref="I13:Q13" si="1">I7+I10-I11-I12</f>
        <v>138866.364143657</v>
      </c>
      <c r="J13" s="65">
        <f t="shared" si="1"/>
        <v>250173.89028740427</v>
      </c>
      <c r="K13" s="65">
        <f t="shared" si="1"/>
        <v>481468.36335882591</v>
      </c>
      <c r="L13" s="65">
        <f t="shared" si="1"/>
        <v>667601.89913030644</v>
      </c>
      <c r="M13" s="65">
        <f t="shared" si="1"/>
        <v>939086.65599353984</v>
      </c>
      <c r="N13" s="65">
        <f t="shared" si="1"/>
        <v>1306596.243731651</v>
      </c>
      <c r="O13" s="65">
        <f t="shared" si="1"/>
        <v>1520053.4565876566</v>
      </c>
      <c r="P13" s="65">
        <f t="shared" si="1"/>
        <v>1745824.9676385026</v>
      </c>
      <c r="Q13" s="65">
        <f t="shared" si="1"/>
        <v>2031036.9036665119</v>
      </c>
    </row>
    <row r="15" spans="2:18" x14ac:dyDescent="0.2">
      <c r="B15" s="34" t="s">
        <v>207</v>
      </c>
      <c r="D15" s="9" t="s">
        <v>133</v>
      </c>
      <c r="G15" s="60">
        <v>1</v>
      </c>
      <c r="H15" s="60">
        <v>2</v>
      </c>
      <c r="I15" s="60">
        <v>3</v>
      </c>
      <c r="J15" s="60">
        <v>4</v>
      </c>
      <c r="K15" s="60">
        <v>5</v>
      </c>
      <c r="L15" s="60">
        <v>6</v>
      </c>
      <c r="M15" s="60">
        <v>7</v>
      </c>
      <c r="N15" s="60">
        <v>8</v>
      </c>
      <c r="O15" s="60">
        <v>9</v>
      </c>
      <c r="P15" s="60">
        <v>10</v>
      </c>
      <c r="Q15" s="60">
        <v>11</v>
      </c>
      <c r="R15" s="60"/>
    </row>
    <row r="16" spans="2:18" x14ac:dyDescent="0.2">
      <c r="B16" s="8" t="s">
        <v>208</v>
      </c>
      <c r="D16" s="9" t="s">
        <v>133</v>
      </c>
      <c r="G16" s="66">
        <f t="shared" ref="G16:Q16" si="2">(1+$F$51)^G15</f>
        <v>1.1144816373244208</v>
      </c>
      <c r="H16" s="66">
        <f t="shared" si="2"/>
        <v>1.2420693199333219</v>
      </c>
      <c r="I16" s="66">
        <f t="shared" si="2"/>
        <v>1.3842634493497186</v>
      </c>
      <c r="J16" s="66">
        <f t="shared" si="2"/>
        <v>1.5427361955196248</v>
      </c>
      <c r="K16" s="66">
        <f t="shared" si="2"/>
        <v>1.7193511611423593</v>
      </c>
      <c r="L16" s="66">
        <f t="shared" si="2"/>
        <v>1.9161852972055808</v>
      </c>
      <c r="M16" s="66">
        <f t="shared" si="2"/>
        <v>2.1355533274466576</v>
      </c>
      <c r="N16" s="66">
        <f t="shared" si="2"/>
        <v>2.380034968966366</v>
      </c>
      <c r="O16" s="66">
        <f t="shared" si="2"/>
        <v>2.6525052691030129</v>
      </c>
      <c r="P16" s="66">
        <f t="shared" si="2"/>
        <v>2.9561684153215793</v>
      </c>
      <c r="Q16" s="66">
        <f t="shared" si="2"/>
        <v>3.294595415714332</v>
      </c>
      <c r="R16" s="66"/>
    </row>
    <row r="17" spans="2:17" x14ac:dyDescent="0.2">
      <c r="B17" s="63" t="s">
        <v>209</v>
      </c>
      <c r="C17" s="64"/>
      <c r="D17" s="67" t="s">
        <v>136</v>
      </c>
      <c r="E17" s="64"/>
      <c r="F17" s="64"/>
      <c r="G17" s="65">
        <f>G13/G16</f>
        <v>166577.49268607088</v>
      </c>
      <c r="H17" s="65">
        <f>H13/H16</f>
        <v>7517.5458432440373</v>
      </c>
      <c r="I17" s="65">
        <f t="shared" ref="I17:Q17" si="3">I13/I16</f>
        <v>100317.87244609532</v>
      </c>
      <c r="J17" s="65">
        <f t="shared" si="3"/>
        <v>162162.45591044854</v>
      </c>
      <c r="K17" s="65">
        <f t="shared" si="3"/>
        <v>280029.10297796992</v>
      </c>
      <c r="L17" s="65">
        <f t="shared" si="3"/>
        <v>348401.53512496228</v>
      </c>
      <c r="M17" s="65">
        <f t="shared" si="3"/>
        <v>439739.26753510052</v>
      </c>
      <c r="N17" s="65">
        <f t="shared" si="3"/>
        <v>548981.9522690028</v>
      </c>
      <c r="O17" s="65">
        <f t="shared" si="3"/>
        <v>573063.31274572248</v>
      </c>
      <c r="P17" s="65">
        <f t="shared" si="3"/>
        <v>590570.19843322679</v>
      </c>
      <c r="Q17" s="65">
        <f t="shared" si="3"/>
        <v>616475.36264362338</v>
      </c>
    </row>
    <row r="19" spans="2:17" x14ac:dyDescent="0.2">
      <c r="B19" s="1"/>
      <c r="C19" s="1"/>
      <c r="D19" s="1"/>
      <c r="E19" s="120"/>
      <c r="F19" s="120"/>
      <c r="G19" s="120"/>
      <c r="H19" s="120"/>
      <c r="I19" s="120"/>
      <c r="J19" s="120"/>
      <c r="K19" s="120"/>
      <c r="L19" s="120"/>
    </row>
    <row r="20" spans="2:17" x14ac:dyDescent="0.2">
      <c r="B20" s="51" t="s">
        <v>176</v>
      </c>
      <c r="C20" s="1"/>
      <c r="D20" s="27"/>
      <c r="E20" s="5"/>
      <c r="F20" s="5"/>
      <c r="G20" s="5"/>
      <c r="H20" s="5"/>
      <c r="I20" s="5"/>
      <c r="J20" s="5"/>
      <c r="K20" s="5"/>
      <c r="L20" s="5"/>
    </row>
    <row r="21" spans="2:17" x14ac:dyDescent="0.2">
      <c r="B21" s="22" t="s">
        <v>177</v>
      </c>
      <c r="C21" s="22"/>
      <c r="D21" s="22"/>
      <c r="E21" s="22"/>
      <c r="F21" s="22"/>
      <c r="G21" s="22" t="s">
        <v>182</v>
      </c>
      <c r="H21" s="22" t="s">
        <v>188</v>
      </c>
      <c r="I21" s="22" t="s">
        <v>189</v>
      </c>
      <c r="J21" s="22" t="s">
        <v>179</v>
      </c>
      <c r="K21" s="22" t="s">
        <v>180</v>
      </c>
      <c r="L21" s="22" t="s">
        <v>181</v>
      </c>
    </row>
    <row r="22" spans="2:17" x14ac:dyDescent="0.2">
      <c r="B22" s="8" t="s">
        <v>183</v>
      </c>
      <c r="G22" s="8">
        <v>1.07</v>
      </c>
      <c r="H22" s="60">
        <v>100000</v>
      </c>
      <c r="I22" s="60">
        <v>8918000</v>
      </c>
      <c r="J22" s="20">
        <f>H22/I22</f>
        <v>1.1213276519398968E-2</v>
      </c>
      <c r="K22" s="20">
        <v>0.21</v>
      </c>
      <c r="L22" s="68">
        <f>G22/((1+(J22*(1-K22))))</f>
        <v>1.0606046459931089</v>
      </c>
    </row>
    <row r="23" spans="2:17" x14ac:dyDescent="0.2">
      <c r="B23" s="8" t="s">
        <v>184</v>
      </c>
      <c r="G23" s="8">
        <v>1.22</v>
      </c>
      <c r="H23" s="60">
        <f>1430992+5000</f>
        <v>1435992</v>
      </c>
      <c r="I23" s="60">
        <v>11539000</v>
      </c>
      <c r="J23" s="20">
        <f t="shared" ref="J23:J27" si="4">H23/I23</f>
        <v>0.12444683248115088</v>
      </c>
      <c r="K23" s="20">
        <v>0.21</v>
      </c>
      <c r="L23" s="68">
        <f t="shared" ref="L23:L27" si="5">G23/((1+(J23*(1-K23))))</f>
        <v>1.1107944662397129</v>
      </c>
    </row>
    <row r="24" spans="2:17" x14ac:dyDescent="0.2">
      <c r="B24" s="8" t="s">
        <v>185</v>
      </c>
      <c r="G24" s="8">
        <v>0.91</v>
      </c>
      <c r="H24" s="60">
        <v>1235700</v>
      </c>
      <c r="I24" s="60">
        <v>11525000</v>
      </c>
      <c r="J24" s="20">
        <f t="shared" si="4"/>
        <v>0.10721908893709328</v>
      </c>
      <c r="K24" s="20">
        <v>0.21</v>
      </c>
      <c r="L24" s="68">
        <f t="shared" si="5"/>
        <v>0.83893926048557088</v>
      </c>
    </row>
    <row r="25" spans="2:17" x14ac:dyDescent="0.2">
      <c r="B25" s="8" t="s">
        <v>186</v>
      </c>
      <c r="G25" s="8">
        <v>1.1499999999999999</v>
      </c>
      <c r="H25" s="60">
        <v>273918</v>
      </c>
      <c r="I25" s="60">
        <v>12447000</v>
      </c>
      <c r="J25" s="20">
        <f t="shared" si="4"/>
        <v>2.2006748614123887E-2</v>
      </c>
      <c r="K25" s="20">
        <v>0.21</v>
      </c>
      <c r="L25" s="68">
        <f t="shared" si="5"/>
        <v>1.13034851643839</v>
      </c>
    </row>
    <row r="26" spans="2:17" x14ac:dyDescent="0.2">
      <c r="B26" s="8" t="s">
        <v>250</v>
      </c>
      <c r="G26" s="8">
        <v>1.1499999999999999</v>
      </c>
      <c r="H26" s="60">
        <v>1615896</v>
      </c>
      <c r="I26" s="60">
        <v>6069000</v>
      </c>
      <c r="J26" s="20">
        <f t="shared" si="4"/>
        <v>0.26625407810182894</v>
      </c>
      <c r="K26" s="20">
        <v>0.21</v>
      </c>
      <c r="L26" s="68">
        <f t="shared" si="5"/>
        <v>0.95014567334752609</v>
      </c>
    </row>
    <row r="27" spans="2:17" x14ac:dyDescent="0.2">
      <c r="B27" s="8" t="s">
        <v>187</v>
      </c>
      <c r="G27" s="8">
        <v>1.64</v>
      </c>
      <c r="H27" s="60">
        <v>0</v>
      </c>
      <c r="I27" s="60">
        <v>8918000</v>
      </c>
      <c r="J27" s="20">
        <f t="shared" si="4"/>
        <v>0</v>
      </c>
      <c r="K27" s="20">
        <v>0.21</v>
      </c>
      <c r="L27" s="8">
        <f t="shared" si="5"/>
        <v>1.64</v>
      </c>
    </row>
    <row r="28" spans="2:17" x14ac:dyDescent="0.2">
      <c r="B28" s="64" t="s">
        <v>190</v>
      </c>
      <c r="C28" s="64"/>
      <c r="D28" s="64"/>
      <c r="E28" s="64"/>
      <c r="F28" s="64"/>
      <c r="G28" s="64"/>
      <c r="H28" s="64"/>
      <c r="I28" s="64"/>
      <c r="J28" s="64"/>
      <c r="K28" s="64"/>
      <c r="L28" s="69">
        <f>AVERAGE(L22:L27)</f>
        <v>1.1218054270840514</v>
      </c>
    </row>
    <row r="30" spans="2:17" x14ac:dyDescent="0.2">
      <c r="D30" s="8" t="s">
        <v>188</v>
      </c>
      <c r="E30" s="8" t="s">
        <v>189</v>
      </c>
      <c r="F30" s="8" t="s">
        <v>192</v>
      </c>
      <c r="G30" s="8" t="s">
        <v>193</v>
      </c>
      <c r="H30" s="8" t="s">
        <v>182</v>
      </c>
    </row>
    <row r="31" spans="2:17" x14ac:dyDescent="0.2">
      <c r="B31" s="8" t="s">
        <v>191</v>
      </c>
      <c r="D31" s="10">
        <f>'Balance Sheet'!F39+'Balance Sheet'!F31</f>
        <v>1773082</v>
      </c>
      <c r="E31" s="60">
        <v>9564000</v>
      </c>
      <c r="F31" s="20">
        <f t="shared" ref="F31" si="6">D31/E31</f>
        <v>0.18539125888749478</v>
      </c>
      <c r="G31" s="20">
        <v>0.15</v>
      </c>
      <c r="H31" s="68">
        <f>L28*(1+(1-K27)*F31)</f>
        <v>1.2861040341636607</v>
      </c>
    </row>
    <row r="33" spans="2:24" x14ac:dyDescent="0.2">
      <c r="B33" s="1"/>
      <c r="C33" s="1"/>
      <c r="D33" s="1"/>
      <c r="E33" s="120"/>
      <c r="F33" s="120"/>
      <c r="G33" s="5"/>
      <c r="H33" s="5"/>
      <c r="I33" s="5"/>
      <c r="J33" s="5"/>
      <c r="K33" s="5"/>
      <c r="L33" s="5"/>
    </row>
    <row r="34" spans="2:24" x14ac:dyDescent="0.2">
      <c r="B34" s="51" t="s">
        <v>194</v>
      </c>
      <c r="C34" s="1"/>
      <c r="D34" s="27" t="s">
        <v>79</v>
      </c>
      <c r="E34" s="5"/>
      <c r="F34" s="5"/>
      <c r="G34" s="5"/>
      <c r="H34" s="5"/>
      <c r="I34" s="5"/>
      <c r="J34" s="5"/>
      <c r="K34" s="5"/>
      <c r="L34" s="5"/>
    </row>
    <row r="35" spans="2:24" x14ac:dyDescent="0.2">
      <c r="B35" s="22" t="s">
        <v>196</v>
      </c>
      <c r="C35" s="22"/>
      <c r="D35" s="22"/>
      <c r="E35" s="22"/>
      <c r="F35" s="22"/>
      <c r="G35" s="22"/>
      <c r="H35" s="22" t="s">
        <v>199</v>
      </c>
      <c r="I35" s="22"/>
      <c r="J35" s="22"/>
      <c r="K35" s="22"/>
      <c r="L35" s="22"/>
    </row>
    <row r="36" spans="2:24" x14ac:dyDescent="0.2">
      <c r="B36" s="8" t="s">
        <v>197</v>
      </c>
      <c r="D36" s="9" t="s">
        <v>113</v>
      </c>
      <c r="F36" s="19">
        <v>3.95E-2</v>
      </c>
      <c r="H36" s="19">
        <v>5.3699999999999998E-2</v>
      </c>
    </row>
    <row r="37" spans="2:24" x14ac:dyDescent="0.2">
      <c r="B37" s="8" t="s">
        <v>198</v>
      </c>
      <c r="D37" s="9" t="s">
        <v>113</v>
      </c>
      <c r="F37" s="19">
        <v>5.9400000000000001E-2</v>
      </c>
    </row>
    <row r="38" spans="2:24" x14ac:dyDescent="0.2">
      <c r="B38" s="8" t="s">
        <v>178</v>
      </c>
      <c r="C38" s="62"/>
      <c r="F38" s="68">
        <f>H31</f>
        <v>1.2861040341636607</v>
      </c>
    </row>
    <row r="39" spans="2:24" x14ac:dyDescent="0.2">
      <c r="B39" s="64" t="s">
        <v>195</v>
      </c>
      <c r="C39" s="64"/>
      <c r="D39" s="64"/>
      <c r="E39" s="64"/>
      <c r="F39" s="70">
        <f>F36+F38*F37</f>
        <v>0.11589457962932145</v>
      </c>
    </row>
    <row r="41" spans="2:24" x14ac:dyDescent="0.2">
      <c r="B41" s="8" t="s">
        <v>200</v>
      </c>
      <c r="D41" s="9" t="s">
        <v>136</v>
      </c>
      <c r="F41" s="66">
        <v>84.63</v>
      </c>
      <c r="H41" s="93"/>
    </row>
    <row r="42" spans="2:24" x14ac:dyDescent="0.2">
      <c r="B42" s="8" t="s">
        <v>218</v>
      </c>
      <c r="D42" s="9" t="s">
        <v>205</v>
      </c>
      <c r="F42" s="60">
        <v>106385</v>
      </c>
    </row>
    <row r="43" spans="2:24" x14ac:dyDescent="0.2">
      <c r="B43" s="8" t="s">
        <v>203</v>
      </c>
      <c r="D43" s="71" t="s">
        <v>136</v>
      </c>
      <c r="F43" s="60">
        <f>F41*F42</f>
        <v>9003362.5499999989</v>
      </c>
    </row>
    <row r="44" spans="2:24" x14ac:dyDescent="0.2">
      <c r="B44" s="8" t="s">
        <v>204</v>
      </c>
      <c r="D44" s="9" t="s">
        <v>136</v>
      </c>
      <c r="F44" s="10">
        <f>'Balance Sheet'!F39+'Balance Sheet'!F31-'Balance Sheet'!F6</f>
        <v>176540</v>
      </c>
    </row>
    <row r="45" spans="2:24" x14ac:dyDescent="0.2">
      <c r="D45" s="9"/>
    </row>
    <row r="46" spans="2:24" ht="19" x14ac:dyDescent="0.25">
      <c r="B46" s="8" t="s">
        <v>201</v>
      </c>
      <c r="D46" s="9" t="s">
        <v>113</v>
      </c>
      <c r="F46" s="72">
        <f>F43/(F43+F44)</f>
        <v>0.9807688590332585</v>
      </c>
      <c r="N46" s="116"/>
      <c r="O46" s="109"/>
      <c r="P46" s="110"/>
      <c r="Q46" s="110"/>
      <c r="R46" s="110"/>
      <c r="S46" s="110"/>
      <c r="T46" s="111" t="s">
        <v>206</v>
      </c>
      <c r="U46" s="110"/>
      <c r="V46" s="110"/>
      <c r="W46" s="109"/>
      <c r="X46" s="109"/>
    </row>
    <row r="47" spans="2:24" x14ac:dyDescent="0.2">
      <c r="B47" s="8" t="s">
        <v>202</v>
      </c>
      <c r="D47" s="9" t="s">
        <v>113</v>
      </c>
      <c r="F47" s="73">
        <f>F44/(F43+F44)</f>
        <v>1.9231140966741528E-2</v>
      </c>
      <c r="N47" s="109"/>
      <c r="O47" s="112">
        <f>F68</f>
        <v>99.119637116479282</v>
      </c>
      <c r="P47" s="113">
        <v>0.105</v>
      </c>
      <c r="Q47" s="113">
        <v>0.1075</v>
      </c>
      <c r="R47" s="113">
        <v>0.11</v>
      </c>
      <c r="S47" s="113">
        <v>0.1125</v>
      </c>
      <c r="T47" s="113">
        <v>0.115</v>
      </c>
      <c r="U47" s="113">
        <v>0.11749999999999999</v>
      </c>
      <c r="V47" s="113">
        <v>0.12</v>
      </c>
      <c r="W47" s="113">
        <v>0.1225</v>
      </c>
      <c r="X47" s="113">
        <v>0.125</v>
      </c>
    </row>
    <row r="48" spans="2:24" x14ac:dyDescent="0.2">
      <c r="N48" s="109"/>
      <c r="O48" s="113">
        <v>1.4999999999999999E-2</v>
      </c>
      <c r="P48" s="114">
        <f t="dataTable" ref="P48:X56" dt2D="1" dtr="1" r1="F51" r2="F57"/>
        <v>107.01463131209138</v>
      </c>
      <c r="Q48" s="114">
        <v>102.68486886575685</v>
      </c>
      <c r="R48" s="114">
        <v>98.606809458906113</v>
      </c>
      <c r="S48" s="114">
        <v>94.760600551055688</v>
      </c>
      <c r="T48" s="114">
        <v>91.128386470986541</v>
      </c>
      <c r="U48" s="114">
        <v>87.694064588630383</v>
      </c>
      <c r="V48" s="114">
        <v>84.443076328490875</v>
      </c>
      <c r="W48" s="115">
        <v>81.362227352441835</v>
      </c>
      <c r="X48" s="115">
        <v>78.439532271050268</v>
      </c>
    </row>
    <row r="49" spans="2:24" x14ac:dyDescent="0.2">
      <c r="B49" s="8" t="s">
        <v>193</v>
      </c>
      <c r="D49" s="9" t="s">
        <v>113</v>
      </c>
      <c r="F49" s="20">
        <v>0.21</v>
      </c>
      <c r="N49" s="109"/>
      <c r="O49" s="113">
        <v>1.7500000000000002E-2</v>
      </c>
      <c r="P49" s="114">
        <v>109.24771028731146</v>
      </c>
      <c r="Q49" s="114">
        <v>104.75003899223043</v>
      </c>
      <c r="R49" s="114">
        <v>100.51966555530069</v>
      </c>
      <c r="S49" s="114">
        <v>96.534990250942471</v>
      </c>
      <c r="T49" s="114">
        <v>92.77664046110327</v>
      </c>
      <c r="U49" s="114">
        <v>89.227191976149598</v>
      </c>
      <c r="V49" s="114">
        <v>85.870931090024229</v>
      </c>
      <c r="W49" s="115">
        <v>82.693650690342551</v>
      </c>
      <c r="X49" s="115">
        <v>79.682474809095851</v>
      </c>
    </row>
    <row r="50" spans="2:24" x14ac:dyDescent="0.2">
      <c r="N50" s="109"/>
      <c r="O50" s="113">
        <v>0.02</v>
      </c>
      <c r="P50" s="114">
        <v>111.61214684930918</v>
      </c>
      <c r="Q50" s="114">
        <v>106.93321884021678</v>
      </c>
      <c r="R50" s="114">
        <v>102.53879143482828</v>
      </c>
      <c r="S50" s="114">
        <v>98.405292907579891</v>
      </c>
      <c r="T50" s="114">
        <v>94.511644661226143</v>
      </c>
      <c r="U50" s="114">
        <v>90.838941280977451</v>
      </c>
      <c r="V50" s="114">
        <v>87.37017858963425</v>
      </c>
      <c r="W50" s="115">
        <v>84.09002150814085</v>
      </c>
      <c r="X50" s="115">
        <v>80.984605087048337</v>
      </c>
    </row>
    <row r="51" spans="2:24" ht="19" x14ac:dyDescent="0.25">
      <c r="B51" s="64" t="s">
        <v>206</v>
      </c>
      <c r="C51" s="64"/>
      <c r="D51" s="67" t="s">
        <v>113</v>
      </c>
      <c r="E51" s="64"/>
      <c r="F51" s="74">
        <f>F39*F46+F47*H36*(1-F49)</f>
        <v>0.11448163732442081</v>
      </c>
      <c r="N51" s="111"/>
      <c r="O51" s="113">
        <v>2.2499999999999999E-2</v>
      </c>
      <c r="P51" s="114">
        <v>114.11988259688252</v>
      </c>
      <c r="Q51" s="114">
        <v>109.24482103220234</v>
      </c>
      <c r="R51" s="114">
        <v>104.67329593604316</v>
      </c>
      <c r="S51" s="114">
        <v>100.37950126736381</v>
      </c>
      <c r="T51" s="114">
        <v>96.340432872166446</v>
      </c>
      <c r="U51" s="114">
        <v>92.535519496585749</v>
      </c>
      <c r="V51" s="114">
        <v>88.946310576403746</v>
      </c>
      <c r="W51" s="115">
        <v>85.556210866829034</v>
      </c>
      <c r="X51" s="115">
        <v>82.350253915144862</v>
      </c>
    </row>
    <row r="52" spans="2:24" ht="19" x14ac:dyDescent="0.25">
      <c r="N52" s="111" t="s">
        <v>265</v>
      </c>
      <c r="O52" s="113">
        <v>2.5000000000000001E-2</v>
      </c>
      <c r="P52" s="114">
        <v>116.78435182867922</v>
      </c>
      <c r="Q52" s="114">
        <v>111.69652032673247</v>
      </c>
      <c r="R52" s="114">
        <v>106.9333595255648</v>
      </c>
      <c r="S52" s="114">
        <v>102.46652153342109</v>
      </c>
      <c r="T52" s="114">
        <v>98.270820428158999</v>
      </c>
      <c r="U52" s="114">
        <v>94.323804642767442</v>
      </c>
      <c r="V52" s="114">
        <v>90.605396878266404</v>
      </c>
      <c r="W52" s="115">
        <v>87.097589423398702</v>
      </c>
      <c r="X52" s="115">
        <v>83.784185184646205</v>
      </c>
    </row>
    <row r="53" spans="2:24" x14ac:dyDescent="0.2">
      <c r="N53" s="109"/>
      <c r="O53" s="113">
        <v>2.75E-2</v>
      </c>
      <c r="P53" s="114">
        <v>119.62072230123695</v>
      </c>
      <c r="Q53" s="114">
        <v>114.30145082717073</v>
      </c>
      <c r="R53" s="114">
        <v>109.33039666596655</v>
      </c>
      <c r="S53" s="114">
        <v>104.67630769748176</v>
      </c>
      <c r="T53" s="114">
        <v>100.311515844494</v>
      </c>
      <c r="U53" s="114">
        <v>96.211438963737024</v>
      </c>
      <c r="V53" s="114">
        <v>92.3541635207703</v>
      </c>
      <c r="W53" s="115">
        <v>88.72009316715625</v>
      </c>
      <c r="X53" s="115">
        <v>85.291651391045065</v>
      </c>
    </row>
    <row r="54" spans="2:24" x14ac:dyDescent="0.2">
      <c r="N54" s="109"/>
      <c r="O54" s="113">
        <v>0.03</v>
      </c>
      <c r="P54" s="114">
        <v>122.6461841386319</v>
      </c>
      <c r="Q54" s="114">
        <v>117.07444135989532</v>
      </c>
      <c r="R54" s="114">
        <v>111.87724862764338</v>
      </c>
      <c r="S54" s="114">
        <v>107.02002029572793</v>
      </c>
      <c r="T54" s="114">
        <v>102.47225216767221</v>
      </c>
      <c r="U54" s="114">
        <v>98.206938103047733</v>
      </c>
      <c r="V54" s="114">
        <v>94.200083865635463</v>
      </c>
      <c r="W54" s="115">
        <v>90.430299815981755</v>
      </c>
      <c r="X54" s="115">
        <v>86.87845792409648</v>
      </c>
    </row>
    <row r="55" spans="2:24" ht="16" customHeight="1" x14ac:dyDescent="0.2">
      <c r="B55" s="1"/>
      <c r="C55" s="1"/>
      <c r="D55" s="1"/>
      <c r="E55" s="120"/>
      <c r="F55" s="120"/>
      <c r="N55" s="109"/>
      <c r="O55" s="113">
        <v>3.2500000000000001E-2</v>
      </c>
      <c r="P55" s="114">
        <v>125.88029851653684</v>
      </c>
      <c r="Q55" s="114">
        <v>120.03229792813488</v>
      </c>
      <c r="R55" s="114">
        <v>114.58841361910584</v>
      </c>
      <c r="S55" s="114">
        <v>109.51021493136446</v>
      </c>
      <c r="T55" s="114">
        <v>104.7639422074067</v>
      </c>
      <c r="U55" s="114">
        <v>100.31981954467082</v>
      </c>
      <c r="V55" s="114">
        <v>96.151485373064403</v>
      </c>
      <c r="W55" s="115">
        <v>92.235517945297559</v>
      </c>
      <c r="X55" s="115">
        <v>88.551037783258806</v>
      </c>
    </row>
    <row r="56" spans="2:24" x14ac:dyDescent="0.2">
      <c r="B56" s="51" t="s">
        <v>210</v>
      </c>
      <c r="C56" s="1"/>
      <c r="D56" s="27" t="s">
        <v>79</v>
      </c>
      <c r="E56" s="5"/>
      <c r="F56" s="5"/>
      <c r="N56" s="109"/>
      <c r="O56" s="113">
        <v>3.5000000000000003E-2</v>
      </c>
      <c r="P56" s="114">
        <v>129.34542106429211</v>
      </c>
      <c r="Q56" s="114">
        <v>123.19414460452892</v>
      </c>
      <c r="R56" s="114">
        <v>117.48032294333247</v>
      </c>
      <c r="S56" s="114">
        <v>112.16106728542918</v>
      </c>
      <c r="T56" s="114">
        <v>107.19886287462457</v>
      </c>
      <c r="U56" s="114">
        <v>102.56075440699834</v>
      </c>
      <c r="V56" s="114">
        <v>98.217675204459752</v>
      </c>
      <c r="W56" s="115">
        <v>94.143891396288581</v>
      </c>
      <c r="X56" s="115">
        <v>90.316538745707916</v>
      </c>
    </row>
    <row r="57" spans="2:24" ht="16" customHeight="1" x14ac:dyDescent="0.2">
      <c r="B57" s="8" t="s">
        <v>211</v>
      </c>
      <c r="D57" s="9" t="s">
        <v>113</v>
      </c>
      <c r="F57" s="19">
        <v>2.5000000000000001E-2</v>
      </c>
    </row>
    <row r="58" spans="2:24" ht="16" customHeight="1" x14ac:dyDescent="0.2">
      <c r="B58" s="64" t="s">
        <v>221</v>
      </c>
      <c r="C58" s="64"/>
      <c r="D58" s="67" t="s">
        <v>136</v>
      </c>
      <c r="E58" s="64"/>
      <c r="F58" s="65">
        <f>(Q13*(1+F57))/(F51-F57)/Q16</f>
        <v>7061641.5345504964</v>
      </c>
    </row>
    <row r="59" spans="2:24" ht="16" customHeight="1" x14ac:dyDescent="0.2">
      <c r="D59" s="9"/>
      <c r="F59" s="19"/>
    </row>
    <row r="60" spans="2:24" ht="19" customHeight="1" x14ac:dyDescent="0.2">
      <c r="B60" s="1"/>
      <c r="C60" s="1"/>
      <c r="D60" s="1"/>
      <c r="E60" s="120"/>
      <c r="F60" s="120"/>
      <c r="K60" s="107"/>
    </row>
    <row r="61" spans="2:24" ht="16" customHeight="1" x14ac:dyDescent="0.2">
      <c r="B61" s="51" t="s">
        <v>213</v>
      </c>
      <c r="C61" s="1"/>
      <c r="D61" s="27" t="s">
        <v>79</v>
      </c>
      <c r="E61" s="5"/>
      <c r="F61" s="5"/>
      <c r="H61" s="78" t="s">
        <v>238</v>
      </c>
      <c r="I61" s="78">
        <v>2</v>
      </c>
    </row>
    <row r="62" spans="2:24" ht="16" customHeight="1" x14ac:dyDescent="0.2">
      <c r="B62" s="8" t="s">
        <v>214</v>
      </c>
      <c r="D62" s="9" t="s">
        <v>136</v>
      </c>
      <c r="F62" s="10">
        <f>IF(G5&lt;0, SUM(I17:Q17),SUM(G17:Q17) )</f>
        <v>3659741.0600861521</v>
      </c>
      <c r="H62" s="11" t="s">
        <v>239</v>
      </c>
      <c r="L62" s="107"/>
    </row>
    <row r="63" spans="2:24" ht="16" customHeight="1" x14ac:dyDescent="0.2">
      <c r="B63" s="8" t="s">
        <v>212</v>
      </c>
      <c r="D63" s="9" t="s">
        <v>136</v>
      </c>
      <c r="F63" s="10">
        <f>F58</f>
        <v>7061641.5345504964</v>
      </c>
      <c r="H63" s="11" t="s">
        <v>240</v>
      </c>
    </row>
    <row r="64" spans="2:24" ht="16" customHeight="1" x14ac:dyDescent="0.2">
      <c r="B64" s="64" t="s">
        <v>215</v>
      </c>
      <c r="C64" s="64"/>
      <c r="D64" s="67" t="s">
        <v>136</v>
      </c>
      <c r="E64" s="64"/>
      <c r="F64" s="75">
        <f>SUM(F62:F63)</f>
        <v>10721382.594636649</v>
      </c>
      <c r="H64" s="11" t="s">
        <v>241</v>
      </c>
      <c r="K64" s="76"/>
    </row>
    <row r="65" spans="2:6" ht="16" customHeight="1" x14ac:dyDescent="0.2">
      <c r="D65" s="71"/>
      <c r="F65" s="60"/>
    </row>
    <row r="66" spans="2:6" x14ac:dyDescent="0.2">
      <c r="B66" s="8" t="s">
        <v>216</v>
      </c>
      <c r="D66" s="9" t="s">
        <v>136</v>
      </c>
      <c r="F66" s="10">
        <f>F64-F44</f>
        <v>10544842.594636649</v>
      </c>
    </row>
    <row r="67" spans="2:6" x14ac:dyDescent="0.2">
      <c r="B67" s="8" t="s">
        <v>217</v>
      </c>
      <c r="D67" s="9"/>
      <c r="F67" s="60">
        <f>F42</f>
        <v>106385</v>
      </c>
    </row>
    <row r="68" spans="2:6" x14ac:dyDescent="0.2">
      <c r="B68" s="63" t="s">
        <v>219</v>
      </c>
      <c r="C68" s="63"/>
      <c r="D68" s="99" t="s">
        <v>136</v>
      </c>
      <c r="E68" s="63"/>
      <c r="F68" s="100">
        <f>F66/F67</f>
        <v>99.119637116479282</v>
      </c>
    </row>
    <row r="69" spans="2:6" x14ac:dyDescent="0.2">
      <c r="D69" s="9"/>
      <c r="F69" s="73"/>
    </row>
    <row r="70" spans="2:6" x14ac:dyDescent="0.2">
      <c r="B70" s="94" t="s">
        <v>220</v>
      </c>
      <c r="C70" s="94"/>
      <c r="D70" s="94"/>
      <c r="E70" s="94"/>
      <c r="F70" s="98">
        <f>F68/F41-1</f>
        <v>0.17121159301050803</v>
      </c>
    </row>
  </sheetData>
  <mergeCells count="9">
    <mergeCell ref="I19:J19"/>
    <mergeCell ref="K19:L19"/>
    <mergeCell ref="G2:Q2"/>
    <mergeCell ref="E55:F55"/>
    <mergeCell ref="E60:F60"/>
    <mergeCell ref="E2:F2"/>
    <mergeCell ref="E19:F19"/>
    <mergeCell ref="E33:F33"/>
    <mergeCell ref="G19:H19"/>
  </mergeCells>
  <phoneticPr fontId="2" type="noConversion"/>
  <conditionalFormatting sqref="P48:X56">
    <cfRule type="colorScale" priority="1">
      <colorScale>
        <cfvo type="min"/>
        <cfvo type="num" val="$F$41"/>
        <cfvo type="max"/>
        <color rgb="FFFF0000"/>
        <color theme="0"/>
        <color rgb="FF00B050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Revenue Build</vt:lpstr>
      <vt:lpstr>Income Statement</vt:lpstr>
      <vt:lpstr>Balance Sheet</vt:lpstr>
      <vt:lpstr>Cash Flow Statement</vt:lpstr>
      <vt:lpstr>--------&gt;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Yang</dc:creator>
  <cp:lastModifiedBy>Aadarsh Agarwal</cp:lastModifiedBy>
  <dcterms:created xsi:type="dcterms:W3CDTF">2023-01-14T04:01:22Z</dcterms:created>
  <dcterms:modified xsi:type="dcterms:W3CDTF">2024-05-11T00:52:50Z</dcterms:modified>
</cp:coreProperties>
</file>