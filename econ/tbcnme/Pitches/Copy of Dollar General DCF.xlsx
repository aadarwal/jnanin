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aadarsh/Desktop/"/>
    </mc:Choice>
  </mc:AlternateContent>
  <xr:revisionPtr revIDLastSave="0" documentId="13_ncr:1_{1FE766D6-9639-D04A-8DC1-722FE3171B88}" xr6:coauthVersionLast="47" xr6:coauthVersionMax="47" xr10:uidLastSave="{00000000-0000-0000-0000-000000000000}"/>
  <bookViews>
    <workbookView xWindow="6500" yWindow="780" windowWidth="27700" windowHeight="21360" xr2:uid="{00000000-000D-0000-FFFF-FFFF00000000}"/>
  </bookViews>
  <sheets>
    <sheet name="NWC Build" sheetId="1" r:id="rId1"/>
    <sheet name="Revenue Build (Base Case)" sheetId="2" r:id="rId2"/>
    <sheet name="DCF (Base Case)" sheetId="3" r:id="rId3"/>
    <sheet name="Revenue Build (Bear Case)" sheetId="4" r:id="rId4"/>
    <sheet name="DCF (Bear Case)" sheetId="5" r:id="rId5"/>
    <sheet name="Revenue Build (Bull Case)" sheetId="6" r:id="rId6"/>
    <sheet name="DCF (Bull Case)" sheetId="7" r:id="rId7"/>
    <sheet name="Comps" sheetId="8" r:id="rId8"/>
    <sheet name="Sensitivity" sheetId="9" r:id="rId9"/>
    <sheet name="Football Field" sheetId="10" r:id="rId10"/>
  </sheets>
  <externalReferences>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10" l="1"/>
  <c r="L14" i="10"/>
  <c r="L13" i="10"/>
  <c r="D12" i="10"/>
  <c r="L11" i="10"/>
  <c r="D11" i="10"/>
  <c r="L10" i="10"/>
  <c r="L9" i="10"/>
  <c r="D9" i="10"/>
  <c r="L8" i="10"/>
  <c r="D8" i="10"/>
  <c r="B7" i="9"/>
  <c r="B8" i="9" s="1"/>
  <c r="B6" i="9"/>
  <c r="C6" i="9" s="1"/>
  <c r="C5" i="9"/>
  <c r="C4" i="9"/>
  <c r="D3" i="9"/>
  <c r="Z16" i="8"/>
  <c r="Y16" i="8"/>
  <c r="W16" i="8"/>
  <c r="V16" i="8"/>
  <c r="U15" i="8"/>
  <c r="T15" i="8"/>
  <c r="U14" i="8"/>
  <c r="T14" i="8"/>
  <c r="Z12" i="8"/>
  <c r="Z17" i="8" s="1"/>
  <c r="Y12" i="8"/>
  <c r="Y17" i="8" s="1"/>
  <c r="W12" i="8"/>
  <c r="W17" i="8" s="1"/>
  <c r="V12" i="8"/>
  <c r="V17" i="8" s="1"/>
  <c r="J12" i="8"/>
  <c r="I12" i="8"/>
  <c r="H12" i="8"/>
  <c r="G12" i="8"/>
  <c r="F12" i="8"/>
  <c r="E12" i="8"/>
  <c r="D12" i="8"/>
  <c r="U11" i="8"/>
  <c r="T11" i="8"/>
  <c r="K11" i="8"/>
  <c r="U10" i="8"/>
  <c r="T10" i="8"/>
  <c r="K10" i="8"/>
  <c r="U9" i="8"/>
  <c r="T9" i="8"/>
  <c r="K9" i="8"/>
  <c r="U8" i="8"/>
  <c r="T8" i="8"/>
  <c r="K8" i="8"/>
  <c r="K7" i="8"/>
  <c r="U6" i="8"/>
  <c r="T6" i="8"/>
  <c r="S6" i="8"/>
  <c r="K6" i="8"/>
  <c r="K5" i="8"/>
  <c r="K3" i="8"/>
  <c r="K12" i="8" s="1"/>
  <c r="J20" i="7" s="1"/>
  <c r="B36" i="7"/>
  <c r="B35" i="7"/>
  <c r="B34" i="7"/>
  <c r="H26" i="7"/>
  <c r="B26" i="7"/>
  <c r="H25" i="7"/>
  <c r="B25" i="7"/>
  <c r="B27" i="7" s="1"/>
  <c r="H24" i="7"/>
  <c r="H23" i="7"/>
  <c r="D13" i="7"/>
  <c r="F10" i="7"/>
  <c r="E10" i="7"/>
  <c r="B10" i="7"/>
  <c r="C8" i="7"/>
  <c r="F7" i="7"/>
  <c r="E7" i="7"/>
  <c r="D7" i="7"/>
  <c r="C7" i="7"/>
  <c r="B7" i="7"/>
  <c r="B8" i="7" s="1"/>
  <c r="G6" i="7"/>
  <c r="H6" i="7" s="1"/>
  <c r="I6" i="7" s="1"/>
  <c r="J6" i="7" s="1"/>
  <c r="F3" i="7"/>
  <c r="F12" i="7" s="1"/>
  <c r="E3" i="7"/>
  <c r="E12" i="7" s="1"/>
  <c r="D3" i="7"/>
  <c r="C3" i="7"/>
  <c r="C12" i="7" s="1"/>
  <c r="B3" i="7"/>
  <c r="B12" i="7" s="1"/>
  <c r="N39" i="6"/>
  <c r="I39" i="6"/>
  <c r="H39" i="6"/>
  <c r="G39" i="6"/>
  <c r="F39" i="6"/>
  <c r="N38" i="6"/>
  <c r="M38" i="6"/>
  <c r="M39" i="6" s="1"/>
  <c r="L38" i="6"/>
  <c r="K38" i="6"/>
  <c r="J38" i="6"/>
  <c r="J39" i="6" s="1"/>
  <c r="N37" i="6"/>
  <c r="M37" i="6"/>
  <c r="L37" i="6"/>
  <c r="K37" i="6"/>
  <c r="J37" i="6"/>
  <c r="I37" i="6"/>
  <c r="H37" i="6"/>
  <c r="G37" i="6"/>
  <c r="F37" i="6"/>
  <c r="N35" i="6"/>
  <c r="M35" i="6"/>
  <c r="L35" i="6"/>
  <c r="K35" i="6"/>
  <c r="J35" i="6"/>
  <c r="I35" i="6"/>
  <c r="H35" i="6"/>
  <c r="G35" i="6"/>
  <c r="F35" i="6"/>
  <c r="N33" i="6"/>
  <c r="M33" i="6"/>
  <c r="L33" i="6"/>
  <c r="K33" i="6"/>
  <c r="J33" i="6"/>
  <c r="I33" i="6"/>
  <c r="H33" i="6"/>
  <c r="G33" i="6"/>
  <c r="F33" i="6"/>
  <c r="I30" i="6"/>
  <c r="H30" i="6"/>
  <c r="G30" i="6"/>
  <c r="F30" i="6"/>
  <c r="E30" i="6"/>
  <c r="I29" i="6"/>
  <c r="H29" i="6"/>
  <c r="G29" i="6"/>
  <c r="F29" i="6"/>
  <c r="S22" i="6"/>
  <c r="R22" i="6"/>
  <c r="Q22" i="6"/>
  <c r="P22" i="6"/>
  <c r="O22" i="6"/>
  <c r="N22" i="6"/>
  <c r="M22" i="6"/>
  <c r="L22" i="6"/>
  <c r="K22" i="6"/>
  <c r="J22" i="6"/>
  <c r="I22" i="6"/>
  <c r="H22" i="6"/>
  <c r="G22" i="6"/>
  <c r="F22" i="6"/>
  <c r="E19" i="6"/>
  <c r="L17" i="6"/>
  <c r="M17" i="6" s="1"/>
  <c r="K17" i="6"/>
  <c r="J17" i="6"/>
  <c r="S13" i="6"/>
  <c r="R13" i="6"/>
  <c r="Q13" i="6"/>
  <c r="P13" i="6"/>
  <c r="O13" i="6"/>
  <c r="N13" i="6"/>
  <c r="M13" i="6"/>
  <c r="L13" i="6"/>
  <c r="K13" i="6"/>
  <c r="I13" i="6"/>
  <c r="H13" i="6"/>
  <c r="G13" i="6"/>
  <c r="F13" i="6"/>
  <c r="E13" i="6"/>
  <c r="E14" i="6" s="1"/>
  <c r="R12" i="6"/>
  <c r="Q12" i="6"/>
  <c r="M12" i="6"/>
  <c r="J12" i="6"/>
  <c r="I12" i="6"/>
  <c r="H12" i="6"/>
  <c r="E12" i="6"/>
  <c r="E15" i="6" s="1"/>
  <c r="F11" i="6" s="1"/>
  <c r="F15" i="6" s="1"/>
  <c r="E11" i="6"/>
  <c r="J9" i="6"/>
  <c r="J13" i="6" s="1"/>
  <c r="S8" i="6"/>
  <c r="S12" i="6" s="1"/>
  <c r="R8" i="6"/>
  <c r="Q8" i="6"/>
  <c r="P8" i="6"/>
  <c r="P12" i="6" s="1"/>
  <c r="O8" i="6"/>
  <c r="O12" i="6" s="1"/>
  <c r="N8" i="6"/>
  <c r="N12" i="6" s="1"/>
  <c r="M8" i="6"/>
  <c r="L8" i="6"/>
  <c r="L12" i="6" s="1"/>
  <c r="K8" i="6"/>
  <c r="K12" i="6" s="1"/>
  <c r="J8" i="6"/>
  <c r="I8" i="6"/>
  <c r="H8" i="6"/>
  <c r="G8" i="6"/>
  <c r="G12" i="6" s="1"/>
  <c r="F8" i="6"/>
  <c r="F12" i="6" s="1"/>
  <c r="E8" i="6"/>
  <c r="Q4" i="6"/>
  <c r="R4" i="6" s="1"/>
  <c r="S4" i="6" s="1"/>
  <c r="P4" i="6"/>
  <c r="O4" i="6"/>
  <c r="B34" i="5"/>
  <c r="B35" i="5" s="1"/>
  <c r="B36" i="5" s="1"/>
  <c r="H26" i="5"/>
  <c r="B26" i="5"/>
  <c r="H25" i="5"/>
  <c r="B25" i="5"/>
  <c r="B27" i="5" s="1"/>
  <c r="H24" i="5"/>
  <c r="H23" i="5"/>
  <c r="D13" i="5"/>
  <c r="F12" i="5"/>
  <c r="E12" i="5"/>
  <c r="D12" i="5"/>
  <c r="E10" i="5"/>
  <c r="C8" i="5"/>
  <c r="B8" i="5"/>
  <c r="F7" i="5"/>
  <c r="E7" i="5"/>
  <c r="D7" i="5"/>
  <c r="C7" i="5"/>
  <c r="B7" i="5"/>
  <c r="G6" i="5"/>
  <c r="H6" i="5" s="1"/>
  <c r="I6" i="5" s="1"/>
  <c r="J6" i="5" s="1"/>
  <c r="K6" i="5" s="1"/>
  <c r="L6" i="5" s="1"/>
  <c r="F3" i="5"/>
  <c r="F10" i="5" s="1"/>
  <c r="E3" i="5"/>
  <c r="D3" i="5"/>
  <c r="D10" i="5" s="1"/>
  <c r="C3" i="5"/>
  <c r="C10" i="5" s="1"/>
  <c r="B3" i="5"/>
  <c r="B12" i="5" s="1"/>
  <c r="L39" i="4"/>
  <c r="J39" i="4"/>
  <c r="I39" i="4"/>
  <c r="H39" i="4"/>
  <c r="G39" i="4"/>
  <c r="F39" i="4"/>
  <c r="N38" i="4"/>
  <c r="M38" i="4"/>
  <c r="M39" i="4" s="1"/>
  <c r="L38" i="4"/>
  <c r="K38" i="4"/>
  <c r="K39" i="4" s="1"/>
  <c r="J38" i="4"/>
  <c r="N37" i="4"/>
  <c r="M37" i="4"/>
  <c r="L37" i="4"/>
  <c r="K37" i="4"/>
  <c r="J37" i="4"/>
  <c r="I37" i="4"/>
  <c r="H37" i="4"/>
  <c r="G37" i="4"/>
  <c r="F37" i="4"/>
  <c r="N35" i="4"/>
  <c r="M35" i="4"/>
  <c r="L35" i="4"/>
  <c r="K35" i="4"/>
  <c r="J35" i="4"/>
  <c r="I35" i="4"/>
  <c r="H35" i="4"/>
  <c r="G35" i="4"/>
  <c r="F35" i="4"/>
  <c r="N33" i="4"/>
  <c r="M33" i="4"/>
  <c r="L33" i="4"/>
  <c r="K33" i="4"/>
  <c r="J33" i="4"/>
  <c r="I33" i="4"/>
  <c r="H33" i="4"/>
  <c r="G33" i="4"/>
  <c r="F33" i="4"/>
  <c r="I30" i="4"/>
  <c r="H30" i="4"/>
  <c r="G30" i="4"/>
  <c r="F30" i="4"/>
  <c r="E30" i="4"/>
  <c r="I29" i="4"/>
  <c r="H29" i="4"/>
  <c r="G29" i="4"/>
  <c r="F29" i="4"/>
  <c r="S22" i="4"/>
  <c r="R22" i="4"/>
  <c r="Q22" i="4"/>
  <c r="P22" i="4"/>
  <c r="O22" i="4"/>
  <c r="N22" i="4"/>
  <c r="M22" i="4"/>
  <c r="L22" i="4"/>
  <c r="K22" i="4"/>
  <c r="J22" i="4"/>
  <c r="I22" i="4"/>
  <c r="H22" i="4"/>
  <c r="G22" i="4"/>
  <c r="F22" i="4"/>
  <c r="J17" i="4"/>
  <c r="S13" i="4"/>
  <c r="R13" i="4"/>
  <c r="Q13" i="4"/>
  <c r="P13" i="4"/>
  <c r="O13" i="4"/>
  <c r="N13" i="4"/>
  <c r="M13" i="4"/>
  <c r="L13" i="4"/>
  <c r="K13" i="4"/>
  <c r="J13" i="4"/>
  <c r="I13" i="4"/>
  <c r="H13" i="4"/>
  <c r="G13" i="4"/>
  <c r="F13" i="4"/>
  <c r="E13" i="4"/>
  <c r="E14" i="4" s="1"/>
  <c r="O12" i="4"/>
  <c r="N12" i="4"/>
  <c r="M12" i="4"/>
  <c r="L12" i="4"/>
  <c r="K12" i="4"/>
  <c r="G12" i="4"/>
  <c r="F12" i="4"/>
  <c r="E11" i="4"/>
  <c r="S8" i="4"/>
  <c r="S12" i="4" s="1"/>
  <c r="R8" i="4"/>
  <c r="R12" i="4" s="1"/>
  <c r="Q8" i="4"/>
  <c r="Q12" i="4" s="1"/>
  <c r="P8" i="4"/>
  <c r="P12" i="4" s="1"/>
  <c r="O8" i="4"/>
  <c r="N8" i="4"/>
  <c r="M8" i="4"/>
  <c r="L8" i="4"/>
  <c r="K8" i="4"/>
  <c r="J8" i="4"/>
  <c r="J12" i="4" s="1"/>
  <c r="I8" i="4"/>
  <c r="I12" i="4" s="1"/>
  <c r="H8" i="4"/>
  <c r="H12" i="4" s="1"/>
  <c r="G8" i="4"/>
  <c r="F8" i="4"/>
  <c r="E8" i="4"/>
  <c r="E12" i="4" s="1"/>
  <c r="Q4" i="4"/>
  <c r="R4" i="4" s="1"/>
  <c r="S4" i="4" s="1"/>
  <c r="P4" i="4"/>
  <c r="O4" i="4"/>
  <c r="C35" i="3"/>
  <c r="C36" i="3" s="1"/>
  <c r="I29" i="3"/>
  <c r="I27" i="3"/>
  <c r="C27" i="3"/>
  <c r="I26" i="3"/>
  <c r="C26" i="3"/>
  <c r="C28" i="3" s="1"/>
  <c r="I25" i="3"/>
  <c r="I24" i="3"/>
  <c r="E14" i="3"/>
  <c r="H13" i="3"/>
  <c r="G13" i="3"/>
  <c r="C13" i="3"/>
  <c r="G11" i="3"/>
  <c r="C11" i="3"/>
  <c r="G8" i="3"/>
  <c r="F8" i="3"/>
  <c r="E8" i="3"/>
  <c r="E9" i="3" s="1"/>
  <c r="D8" i="3"/>
  <c r="C8" i="3"/>
  <c r="C9" i="3" s="1"/>
  <c r="Q7" i="3"/>
  <c r="P7" i="3"/>
  <c r="O7" i="3"/>
  <c r="N7" i="3"/>
  <c r="M7" i="3"/>
  <c r="L7" i="3"/>
  <c r="K7" i="3"/>
  <c r="J7" i="3"/>
  <c r="I7" i="3"/>
  <c r="H7" i="3"/>
  <c r="G4" i="3"/>
  <c r="F4" i="3"/>
  <c r="E4" i="3"/>
  <c r="D4" i="3"/>
  <c r="C4" i="3"/>
  <c r="I39" i="2"/>
  <c r="H39" i="2"/>
  <c r="G39" i="2"/>
  <c r="F39" i="2"/>
  <c r="N38" i="2"/>
  <c r="M38" i="2"/>
  <c r="L38" i="2"/>
  <c r="K38" i="2"/>
  <c r="L39" i="2" s="1"/>
  <c r="J38" i="2"/>
  <c r="J39" i="2" s="1"/>
  <c r="N37" i="2"/>
  <c r="M37" i="2"/>
  <c r="L37" i="2"/>
  <c r="K37" i="2"/>
  <c r="J37" i="2"/>
  <c r="I37" i="2"/>
  <c r="H37" i="2"/>
  <c r="G37" i="2"/>
  <c r="F37" i="2"/>
  <c r="N35" i="2"/>
  <c r="M35" i="2"/>
  <c r="L35" i="2"/>
  <c r="K35" i="2"/>
  <c r="J35" i="2"/>
  <c r="I35" i="2"/>
  <c r="H35" i="2"/>
  <c r="G35" i="2"/>
  <c r="F35" i="2"/>
  <c r="N33" i="2"/>
  <c r="M33" i="2"/>
  <c r="L33" i="2"/>
  <c r="K33" i="2"/>
  <c r="J33" i="2"/>
  <c r="I33" i="2"/>
  <c r="H33" i="2"/>
  <c r="G33" i="2"/>
  <c r="F33" i="2"/>
  <c r="I30" i="2"/>
  <c r="H30" i="2"/>
  <c r="G30" i="2"/>
  <c r="F30" i="2"/>
  <c r="E30" i="2"/>
  <c r="I29" i="2"/>
  <c r="H29" i="2"/>
  <c r="G29" i="2"/>
  <c r="F29" i="2"/>
  <c r="S22" i="2"/>
  <c r="R22" i="2"/>
  <c r="Q22" i="2"/>
  <c r="P22" i="2"/>
  <c r="O22" i="2"/>
  <c r="N22" i="2"/>
  <c r="M22" i="2"/>
  <c r="L22" i="2"/>
  <c r="K22" i="2"/>
  <c r="J22" i="2"/>
  <c r="I22" i="2"/>
  <c r="H22" i="2"/>
  <c r="G22" i="2"/>
  <c r="F22" i="2"/>
  <c r="E19" i="2"/>
  <c r="J17" i="2"/>
  <c r="E14" i="2"/>
  <c r="S13" i="2"/>
  <c r="R13" i="2"/>
  <c r="Q13" i="2"/>
  <c r="P13" i="2"/>
  <c r="O13" i="2"/>
  <c r="N13" i="2"/>
  <c r="M13" i="2"/>
  <c r="L13" i="2"/>
  <c r="K13" i="2"/>
  <c r="J13" i="2"/>
  <c r="I13" i="2"/>
  <c r="H13" i="2"/>
  <c r="G13" i="2"/>
  <c r="F13" i="2"/>
  <c r="E13" i="2"/>
  <c r="S12" i="2"/>
  <c r="Q12" i="2"/>
  <c r="P12" i="2"/>
  <c r="O12" i="2"/>
  <c r="K12" i="2"/>
  <c r="I12" i="2"/>
  <c r="E11" i="2"/>
  <c r="J9" i="2"/>
  <c r="S8" i="2"/>
  <c r="R8" i="2"/>
  <c r="R12" i="2" s="1"/>
  <c r="Q8" i="2"/>
  <c r="P8" i="2"/>
  <c r="O8" i="2"/>
  <c r="N8" i="2"/>
  <c r="N12" i="2" s="1"/>
  <c r="M8" i="2"/>
  <c r="M12" i="2" s="1"/>
  <c r="L8" i="2"/>
  <c r="L12" i="2" s="1"/>
  <c r="K8" i="2"/>
  <c r="J8" i="2"/>
  <c r="J12" i="2" s="1"/>
  <c r="I8" i="2"/>
  <c r="H8" i="2"/>
  <c r="H12" i="2" s="1"/>
  <c r="G8" i="2"/>
  <c r="G12" i="2" s="1"/>
  <c r="F8" i="2"/>
  <c r="F12" i="2" s="1"/>
  <c r="E8" i="2"/>
  <c r="E12" i="2" s="1"/>
  <c r="E15" i="2" s="1"/>
  <c r="F11" i="2" s="1"/>
  <c r="F15" i="2" s="1"/>
  <c r="O4" i="2"/>
  <c r="P4" i="2" s="1"/>
  <c r="Q4" i="2" s="1"/>
  <c r="R4" i="2" s="1"/>
  <c r="S4" i="2" s="1"/>
  <c r="G21" i="1"/>
  <c r="F21" i="1"/>
  <c r="I20" i="1"/>
  <c r="H20" i="1"/>
  <c r="G20" i="1"/>
  <c r="F20" i="1"/>
  <c r="D14" i="3" s="1"/>
  <c r="E20" i="1"/>
  <c r="I18" i="1"/>
  <c r="G18" i="1"/>
  <c r="F18" i="1"/>
  <c r="E18" i="1"/>
  <c r="I16" i="1"/>
  <c r="H16" i="1"/>
  <c r="G16" i="1"/>
  <c r="E16" i="1"/>
  <c r="I14" i="1"/>
  <c r="H14" i="1"/>
  <c r="G14" i="1"/>
  <c r="F14" i="1"/>
  <c r="E14" i="1"/>
  <c r="I12" i="1"/>
  <c r="H12" i="1"/>
  <c r="G12" i="1"/>
  <c r="F12" i="1"/>
  <c r="E12" i="1"/>
  <c r="I10" i="1"/>
  <c r="H10" i="1"/>
  <c r="G10" i="1"/>
  <c r="F10" i="1"/>
  <c r="E10" i="1"/>
  <c r="I8" i="1"/>
  <c r="H8" i="1"/>
  <c r="G8" i="1"/>
  <c r="F8" i="1"/>
  <c r="E8" i="1"/>
  <c r="I6" i="1"/>
  <c r="H6" i="1"/>
  <c r="G6" i="1"/>
  <c r="F6" i="1"/>
  <c r="E6" i="1"/>
  <c r="N17" i="6" l="1"/>
  <c r="D14" i="5"/>
  <c r="J14" i="1"/>
  <c r="F19" i="2"/>
  <c r="F20" i="2" s="1"/>
  <c r="G11" i="2"/>
  <c r="G15" i="2" s="1"/>
  <c r="F16" i="2"/>
  <c r="H21" i="1"/>
  <c r="F14" i="3"/>
  <c r="E13" i="7"/>
  <c r="E13" i="5"/>
  <c r="C37" i="3"/>
  <c r="C38" i="3" s="1"/>
  <c r="K18" i="1"/>
  <c r="J10" i="1"/>
  <c r="I21" i="1"/>
  <c r="J8" i="1"/>
  <c r="G14" i="2"/>
  <c r="F13" i="3"/>
  <c r="F11" i="3"/>
  <c r="F9" i="3"/>
  <c r="K17" i="4"/>
  <c r="D14" i="7"/>
  <c r="D15" i="7"/>
  <c r="D16" i="7" s="1"/>
  <c r="J18" i="1"/>
  <c r="F13" i="7"/>
  <c r="G14" i="3"/>
  <c r="F13" i="5"/>
  <c r="E16" i="3"/>
  <c r="E17" i="3" s="1"/>
  <c r="E15" i="3"/>
  <c r="K17" i="2"/>
  <c r="K39" i="2"/>
  <c r="H18" i="1"/>
  <c r="L18" i="1" s="1"/>
  <c r="N39" i="2"/>
  <c r="M39" i="2"/>
  <c r="L39" i="6"/>
  <c r="K39" i="6"/>
  <c r="E8" i="7"/>
  <c r="B13" i="7"/>
  <c r="B14" i="7" s="1"/>
  <c r="B13" i="5"/>
  <c r="B14" i="5" s="1"/>
  <c r="C14" i="3"/>
  <c r="C15" i="3" s="1"/>
  <c r="F16" i="1"/>
  <c r="D13" i="3"/>
  <c r="D11" i="3"/>
  <c r="P11" i="3" s="1"/>
  <c r="D9" i="3"/>
  <c r="D15" i="3"/>
  <c r="F14" i="2"/>
  <c r="E13" i="3"/>
  <c r="J13" i="3" s="1"/>
  <c r="E11" i="3"/>
  <c r="K11" i="3" s="1"/>
  <c r="G9" i="3"/>
  <c r="F8" i="7"/>
  <c r="N39" i="4"/>
  <c r="E8" i="5"/>
  <c r="B10" i="5"/>
  <c r="G10" i="5" s="1"/>
  <c r="C12" i="5"/>
  <c r="C13" i="7"/>
  <c r="C13" i="5"/>
  <c r="D15" i="5" s="1"/>
  <c r="D16" i="5" s="1"/>
  <c r="K21" i="3"/>
  <c r="E15" i="4"/>
  <c r="F8" i="5"/>
  <c r="G11" i="6"/>
  <c r="F19" i="6"/>
  <c r="F20" i="6" s="1"/>
  <c r="F14" i="6"/>
  <c r="D10" i="7"/>
  <c r="D12" i="7"/>
  <c r="I12" i="7" s="1"/>
  <c r="J20" i="5"/>
  <c r="F16" i="6"/>
  <c r="D8" i="7"/>
  <c r="B37" i="7"/>
  <c r="D9" i="9"/>
  <c r="B9" i="9"/>
  <c r="C8" i="9"/>
  <c r="D8" i="5"/>
  <c r="B37" i="5"/>
  <c r="D8" i="9"/>
  <c r="D4" i="9"/>
  <c r="C7" i="9"/>
  <c r="C10" i="7"/>
  <c r="D7" i="9"/>
  <c r="D6" i="9"/>
  <c r="E3" i="9"/>
  <c r="D5" i="9"/>
  <c r="F3" i="9" l="1"/>
  <c r="E6" i="9"/>
  <c r="E7" i="9"/>
  <c r="E4" i="9"/>
  <c r="E8" i="9"/>
  <c r="E9" i="9"/>
  <c r="E5" i="9"/>
  <c r="J12" i="5"/>
  <c r="I11" i="3"/>
  <c r="L17" i="2"/>
  <c r="F14" i="5"/>
  <c r="F15" i="5"/>
  <c r="F16" i="5" s="1"/>
  <c r="C9" i="9"/>
  <c r="B10" i="9"/>
  <c r="E10" i="9" s="1"/>
  <c r="G14" i="6"/>
  <c r="G15" i="6"/>
  <c r="J16" i="1"/>
  <c r="M11" i="3"/>
  <c r="K8" i="1"/>
  <c r="M8" i="1" s="1"/>
  <c r="N11" i="3"/>
  <c r="E14" i="5"/>
  <c r="E15" i="5"/>
  <c r="E16" i="5" s="1"/>
  <c r="G16" i="3"/>
  <c r="G17" i="3" s="1"/>
  <c r="G15" i="3"/>
  <c r="L17" i="4"/>
  <c r="F16" i="3"/>
  <c r="F17" i="3" s="1"/>
  <c r="F15" i="3"/>
  <c r="E19" i="4"/>
  <c r="F11" i="4"/>
  <c r="L8" i="1"/>
  <c r="K14" i="1"/>
  <c r="O17" i="6"/>
  <c r="I12" i="5"/>
  <c r="H10" i="5"/>
  <c r="F15" i="7"/>
  <c r="F16" i="7" s="1"/>
  <c r="F14" i="7"/>
  <c r="H10" i="7"/>
  <c r="G10" i="7"/>
  <c r="C14" i="5"/>
  <c r="C15" i="5"/>
  <c r="C16" i="5" s="1"/>
  <c r="O11" i="3"/>
  <c r="D16" i="3"/>
  <c r="D17" i="3" s="1"/>
  <c r="H11" i="3"/>
  <c r="J11" i="3"/>
  <c r="N18" i="1"/>
  <c r="K10" i="1"/>
  <c r="J12" i="7"/>
  <c r="E15" i="7"/>
  <c r="E16" i="7" s="1"/>
  <c r="E14" i="7"/>
  <c r="Q11" i="3"/>
  <c r="C14" i="7"/>
  <c r="C15" i="7"/>
  <c r="C16" i="7" s="1"/>
  <c r="K13" i="3"/>
  <c r="M18" i="1"/>
  <c r="L11" i="3"/>
  <c r="L10" i="1"/>
  <c r="G16" i="2"/>
  <c r="H11" i="2"/>
  <c r="G19" i="2"/>
  <c r="G20" i="2" s="1"/>
  <c r="N8" i="1" l="1"/>
  <c r="H15" i="2"/>
  <c r="H14" i="2"/>
  <c r="F15" i="4"/>
  <c r="F14" i="4"/>
  <c r="F10" i="9"/>
  <c r="F6" i="9"/>
  <c r="F11" i="9"/>
  <c r="F7" i="9"/>
  <c r="F4" i="9"/>
  <c r="F8" i="9"/>
  <c r="F9" i="9"/>
  <c r="F5" i="9"/>
  <c r="G3" i="9"/>
  <c r="O18" i="1"/>
  <c r="C10" i="9"/>
  <c r="B11" i="9"/>
  <c r="D10" i="9"/>
  <c r="K12" i="7"/>
  <c r="K12" i="5"/>
  <c r="P17" i="6"/>
  <c r="L14" i="1"/>
  <c r="P18" i="1"/>
  <c r="M17" i="2"/>
  <c r="Q18" i="1"/>
  <c r="R18" i="1" s="1"/>
  <c r="M10" i="1"/>
  <c r="K16" i="1"/>
  <c r="H11" i="6"/>
  <c r="G19" i="6"/>
  <c r="G20" i="6" s="1"/>
  <c r="G16" i="6"/>
  <c r="M17" i="4"/>
  <c r="N17" i="2" l="1"/>
  <c r="Q17" i="6"/>
  <c r="H15" i="6"/>
  <c r="H14" i="6"/>
  <c r="L16" i="1"/>
  <c r="N17" i="4"/>
  <c r="N10" i="1"/>
  <c r="S18" i="1"/>
  <c r="G11" i="9"/>
  <c r="G7" i="9"/>
  <c r="G4" i="9"/>
  <c r="G8" i="9"/>
  <c r="G9" i="9"/>
  <c r="G5" i="9"/>
  <c r="G10" i="9"/>
  <c r="G6" i="9"/>
  <c r="C11" i="9"/>
  <c r="D11" i="9"/>
  <c r="E11" i="9"/>
  <c r="H19" i="2"/>
  <c r="H20" i="2" s="1"/>
  <c r="I11" i="2"/>
  <c r="H16" i="2"/>
  <c r="F19" i="4"/>
  <c r="F20" i="4" s="1"/>
  <c r="F16" i="4"/>
  <c r="G11" i="4"/>
  <c r="O8" i="1"/>
  <c r="M14" i="1"/>
  <c r="I15" i="2" l="1"/>
  <c r="I14" i="2"/>
  <c r="G15" i="4"/>
  <c r="G14" i="4"/>
  <c r="O17" i="4"/>
  <c r="M16" i="1"/>
  <c r="N16" i="1" s="1"/>
  <c r="O17" i="2"/>
  <c r="P8" i="1"/>
  <c r="Q8" i="1" s="1"/>
  <c r="R17" i="6"/>
  <c r="N14" i="1"/>
  <c r="P10" i="1"/>
  <c r="H19" i="6"/>
  <c r="H20" i="6" s="1"/>
  <c r="I11" i="6"/>
  <c r="H16" i="6"/>
  <c r="O10" i="1"/>
  <c r="Q10" i="1" s="1"/>
  <c r="O16" i="1" l="1"/>
  <c r="G16" i="4"/>
  <c r="H11" i="4"/>
  <c r="G19" i="4"/>
  <c r="G20" i="4" s="1"/>
  <c r="R10" i="1"/>
  <c r="S10" i="1" s="1"/>
  <c r="I15" i="6"/>
  <c r="I14" i="6"/>
  <c r="P17" i="4"/>
  <c r="I19" i="2"/>
  <c r="I20" i="2" s="1"/>
  <c r="I16" i="2"/>
  <c r="J11" i="2"/>
  <c r="R8" i="1"/>
  <c r="S8" i="1" s="1"/>
  <c r="S17" i="6"/>
  <c r="P16" i="1"/>
  <c r="Q16" i="1" s="1"/>
  <c r="Q14" i="1"/>
  <c r="P17" i="2"/>
  <c r="O14" i="1"/>
  <c r="P14" i="1" s="1"/>
  <c r="Q17" i="2" l="1"/>
  <c r="H15" i="4"/>
  <c r="H14" i="4"/>
  <c r="I19" i="6"/>
  <c r="I20" i="6" s="1"/>
  <c r="I16" i="6"/>
  <c r="J11" i="6"/>
  <c r="J15" i="2"/>
  <c r="J14" i="2"/>
  <c r="R16" i="1"/>
  <c r="S16" i="1" s="1"/>
  <c r="Q17" i="4"/>
  <c r="R14" i="1"/>
  <c r="S14" i="1"/>
  <c r="J15" i="6" l="1"/>
  <c r="J14" i="6"/>
  <c r="R17" i="4"/>
  <c r="I11" i="4"/>
  <c r="H19" i="4"/>
  <c r="H20" i="4" s="1"/>
  <c r="H16" i="4"/>
  <c r="R17" i="2"/>
  <c r="J16" i="2"/>
  <c r="K11" i="2"/>
  <c r="J19" i="2"/>
  <c r="I14" i="4" l="1"/>
  <c r="I15" i="4"/>
  <c r="J23" i="2"/>
  <c r="J28" i="2" s="1"/>
  <c r="J20" i="2"/>
  <c r="S17" i="4"/>
  <c r="K15" i="2"/>
  <c r="K14" i="2"/>
  <c r="S17" i="2"/>
  <c r="J16" i="6"/>
  <c r="K11" i="6"/>
  <c r="J19" i="6"/>
  <c r="K16" i="2" l="1"/>
  <c r="L11" i="2"/>
  <c r="K19" i="2"/>
  <c r="K15" i="6"/>
  <c r="K14" i="6"/>
  <c r="J23" i="6"/>
  <c r="J28" i="6" s="1"/>
  <c r="J20" i="6"/>
  <c r="J29" i="2"/>
  <c r="H4" i="3"/>
  <c r="J30" i="2"/>
  <c r="J11" i="4"/>
  <c r="I19" i="4"/>
  <c r="I20" i="4" s="1"/>
  <c r="I16" i="4"/>
  <c r="J15" i="4" l="1"/>
  <c r="J14" i="4"/>
  <c r="K23" i="2"/>
  <c r="K28" i="2" s="1"/>
  <c r="K20" i="2"/>
  <c r="L15" i="2"/>
  <c r="L14" i="2"/>
  <c r="G3" i="7"/>
  <c r="J30" i="6"/>
  <c r="J29" i="6"/>
  <c r="K16" i="6"/>
  <c r="L11" i="6"/>
  <c r="K19" i="6"/>
  <c r="H5" i="3"/>
  <c r="J15" i="1"/>
  <c r="J11" i="1"/>
  <c r="J9" i="1"/>
  <c r="J13" i="1"/>
  <c r="J5" i="1"/>
  <c r="J17" i="1"/>
  <c r="J7" i="1"/>
  <c r="H12" i="3"/>
  <c r="H6" i="3"/>
  <c r="H8" i="3" s="1"/>
  <c r="H10" i="3"/>
  <c r="M11" i="2" l="1"/>
  <c r="L16" i="2"/>
  <c r="L19" i="2"/>
  <c r="K29" i="2"/>
  <c r="I4" i="3"/>
  <c r="K30" i="2"/>
  <c r="G5" i="7"/>
  <c r="G7" i="7" s="1"/>
  <c r="G4" i="7"/>
  <c r="G11" i="7"/>
  <c r="G9" i="7"/>
  <c r="H9" i="3"/>
  <c r="J20" i="1"/>
  <c r="K23" i="6"/>
  <c r="K28" i="6" s="1"/>
  <c r="K20" i="6"/>
  <c r="L15" i="6"/>
  <c r="L14" i="6"/>
  <c r="J16" i="4"/>
  <c r="K11" i="4"/>
  <c r="J19" i="4"/>
  <c r="L16" i="6" l="1"/>
  <c r="M11" i="6"/>
  <c r="L19" i="6"/>
  <c r="G13" i="5"/>
  <c r="G13" i="7"/>
  <c r="H14" i="3"/>
  <c r="J21" i="1"/>
  <c r="G8" i="7"/>
  <c r="H3" i="7"/>
  <c r="K30" i="6"/>
  <c r="K29" i="6"/>
  <c r="I5" i="3"/>
  <c r="K15" i="1"/>
  <c r="K11" i="1"/>
  <c r="K13" i="1"/>
  <c r="K9" i="1"/>
  <c r="K5" i="1"/>
  <c r="K7" i="1"/>
  <c r="K17" i="1"/>
  <c r="I12" i="3"/>
  <c r="I6" i="3"/>
  <c r="I8" i="3" s="1"/>
  <c r="I10" i="3"/>
  <c r="J23" i="4"/>
  <c r="J28" i="4" s="1"/>
  <c r="J20" i="4"/>
  <c r="K14" i="4"/>
  <c r="K15" i="4"/>
  <c r="L23" i="2"/>
  <c r="L28" i="2" s="1"/>
  <c r="L20" i="2"/>
  <c r="M15" i="2"/>
  <c r="M14" i="2"/>
  <c r="L29" i="2" l="1"/>
  <c r="J4" i="3"/>
  <c r="L30" i="2"/>
  <c r="G3" i="5"/>
  <c r="J29" i="4"/>
  <c r="J30" i="4"/>
  <c r="G15" i="5"/>
  <c r="G14" i="5"/>
  <c r="L23" i="6"/>
  <c r="L28" i="6" s="1"/>
  <c r="L20" i="6"/>
  <c r="H4" i="7"/>
  <c r="H11" i="7"/>
  <c r="H5" i="7"/>
  <c r="H7" i="7" s="1"/>
  <c r="H9" i="7"/>
  <c r="M15" i="6"/>
  <c r="M14" i="6"/>
  <c r="M16" i="2"/>
  <c r="N11" i="2"/>
  <c r="M19" i="2"/>
  <c r="I9" i="3"/>
  <c r="H15" i="3"/>
  <c r="H16" i="3"/>
  <c r="H17" i="3" s="1"/>
  <c r="H18" i="3" s="1"/>
  <c r="G15" i="7"/>
  <c r="G16" i="7" s="1"/>
  <c r="G17" i="7" s="1"/>
  <c r="G14" i="7"/>
  <c r="K16" i="4"/>
  <c r="L11" i="4"/>
  <c r="K19" i="4"/>
  <c r="K20" i="1"/>
  <c r="N11" i="6" l="1"/>
  <c r="M16" i="6"/>
  <c r="M19" i="6"/>
  <c r="H13" i="7"/>
  <c r="I14" i="3"/>
  <c r="K21" i="1"/>
  <c r="H13" i="5"/>
  <c r="K23" i="4"/>
  <c r="K28" i="4" s="1"/>
  <c r="K20" i="4"/>
  <c r="G4" i="5"/>
  <c r="G11" i="5"/>
  <c r="G5" i="5"/>
  <c r="G7" i="5" s="1"/>
  <c r="G9" i="5"/>
  <c r="L15" i="4"/>
  <c r="L14" i="4"/>
  <c r="M23" i="2"/>
  <c r="M28" i="2" s="1"/>
  <c r="M20" i="2"/>
  <c r="L17" i="1"/>
  <c r="J5" i="3"/>
  <c r="L13" i="1"/>
  <c r="L9" i="1"/>
  <c r="L5" i="1"/>
  <c r="L7" i="1"/>
  <c r="L15" i="1"/>
  <c r="L11" i="1"/>
  <c r="J6" i="3"/>
  <c r="J8" i="3" s="1"/>
  <c r="J12" i="3"/>
  <c r="J10" i="3"/>
  <c r="H8" i="7"/>
  <c r="N15" i="2"/>
  <c r="N14" i="2"/>
  <c r="L29" i="6"/>
  <c r="I3" i="7"/>
  <c r="L30" i="6"/>
  <c r="G8" i="5" l="1"/>
  <c r="G16" i="5"/>
  <c r="G17" i="5" s="1"/>
  <c r="H15" i="7"/>
  <c r="H16" i="7" s="1"/>
  <c r="H17" i="7" s="1"/>
  <c r="H14" i="7"/>
  <c r="M23" i="6"/>
  <c r="M28" i="6" s="1"/>
  <c r="M20" i="6"/>
  <c r="N15" i="6"/>
  <c r="N14" i="6"/>
  <c r="I4" i="7"/>
  <c r="I5" i="7"/>
  <c r="I7" i="7" s="1"/>
  <c r="I9" i="7"/>
  <c r="I11" i="7"/>
  <c r="K4" i="3"/>
  <c r="M30" i="2"/>
  <c r="M29" i="2"/>
  <c r="K29" i="4"/>
  <c r="H3" i="5"/>
  <c r="K30" i="4"/>
  <c r="O11" i="2"/>
  <c r="N16" i="2"/>
  <c r="N19" i="2"/>
  <c r="H14" i="5"/>
  <c r="H15" i="5"/>
  <c r="L20" i="1"/>
  <c r="L16" i="4"/>
  <c r="M11" i="4"/>
  <c r="L19" i="4"/>
  <c r="J9" i="3"/>
  <c r="I16" i="3"/>
  <c r="I17" i="3" s="1"/>
  <c r="I18" i="3" s="1"/>
  <c r="I15" i="3"/>
  <c r="N16" i="6" l="1"/>
  <c r="O11" i="6"/>
  <c r="N19" i="6"/>
  <c r="M29" i="6"/>
  <c r="J3" i="7"/>
  <c r="M30" i="6"/>
  <c r="N23" i="2"/>
  <c r="N28" i="2" s="1"/>
  <c r="N20" i="2"/>
  <c r="O15" i="2"/>
  <c r="O14" i="2"/>
  <c r="J14" i="3"/>
  <c r="I13" i="5"/>
  <c r="I13" i="7"/>
  <c r="L21" i="1"/>
  <c r="M15" i="1"/>
  <c r="K6" i="3"/>
  <c r="K8" i="3" s="1"/>
  <c r="M7" i="1"/>
  <c r="K5" i="3"/>
  <c r="M13" i="1"/>
  <c r="M9" i="1"/>
  <c r="M5" i="1"/>
  <c r="M17" i="1"/>
  <c r="M11" i="1"/>
  <c r="K10" i="3"/>
  <c r="K12" i="3"/>
  <c r="L20" i="4"/>
  <c r="L23" i="4"/>
  <c r="L28" i="4" s="1"/>
  <c r="M15" i="4"/>
  <c r="M14" i="4"/>
  <c r="I8" i="7"/>
  <c r="H11" i="5"/>
  <c r="H4" i="5"/>
  <c r="H5" i="5"/>
  <c r="H7" i="5" s="1"/>
  <c r="H9" i="5"/>
  <c r="I15" i="5" l="1"/>
  <c r="J15" i="3"/>
  <c r="J16" i="3"/>
  <c r="J17" i="3" s="1"/>
  <c r="J18" i="3" s="1"/>
  <c r="H16" i="5"/>
  <c r="H17" i="5" s="1"/>
  <c r="H8" i="5"/>
  <c r="K9" i="3"/>
  <c r="M20" i="1"/>
  <c r="O16" i="2"/>
  <c r="P11" i="2"/>
  <c r="O19" i="2"/>
  <c r="M16" i="4"/>
  <c r="N11" i="4"/>
  <c r="M19" i="4"/>
  <c r="O15" i="6"/>
  <c r="O14" i="6"/>
  <c r="J9" i="7"/>
  <c r="J5" i="7"/>
  <c r="J7" i="7" s="1"/>
  <c r="J4" i="7"/>
  <c r="J11" i="7"/>
  <c r="N20" i="6"/>
  <c r="N23" i="6"/>
  <c r="N28" i="6" s="1"/>
  <c r="I3" i="5"/>
  <c r="L30" i="4"/>
  <c r="L29" i="4"/>
  <c r="I15" i="7"/>
  <c r="I16" i="7" s="1"/>
  <c r="I17" i="7" s="1"/>
  <c r="I14" i="7"/>
  <c r="L4" i="3"/>
  <c r="N30" i="2"/>
  <c r="N29" i="2"/>
  <c r="P11" i="6" l="1"/>
  <c r="O16" i="6"/>
  <c r="O19" i="6"/>
  <c r="N15" i="4"/>
  <c r="N14" i="4"/>
  <c r="P15" i="2"/>
  <c r="P14" i="2"/>
  <c r="I4" i="5"/>
  <c r="I5" i="5"/>
  <c r="I7" i="5" s="1"/>
  <c r="I9" i="5"/>
  <c r="I11" i="5"/>
  <c r="K3" i="7"/>
  <c r="N30" i="6"/>
  <c r="N29" i="6"/>
  <c r="M20" i="4"/>
  <c r="M23" i="4"/>
  <c r="M28" i="4" s="1"/>
  <c r="L12" i="3"/>
  <c r="L6" i="3"/>
  <c r="L8" i="3" s="1"/>
  <c r="N17" i="1"/>
  <c r="N11" i="1"/>
  <c r="N7" i="1"/>
  <c r="N13" i="1"/>
  <c r="N15" i="1"/>
  <c r="N5" i="1"/>
  <c r="N9" i="1"/>
  <c r="L5" i="3"/>
  <c r="L10" i="3"/>
  <c r="I14" i="5"/>
  <c r="O23" i="2"/>
  <c r="O28" i="2" s="1"/>
  <c r="O20" i="2"/>
  <c r="J8" i="7"/>
  <c r="J13" i="7"/>
  <c r="K14" i="3"/>
  <c r="J13" i="5"/>
  <c r="M21" i="1"/>
  <c r="K15" i="3" l="1"/>
  <c r="K16" i="3"/>
  <c r="K17" i="3" s="1"/>
  <c r="K18" i="3" s="1"/>
  <c r="K9" i="7"/>
  <c r="K5" i="7"/>
  <c r="K7" i="7" s="1"/>
  <c r="K4" i="7"/>
  <c r="K11" i="7"/>
  <c r="J15" i="7"/>
  <c r="J16" i="7" s="1"/>
  <c r="J17" i="7" s="1"/>
  <c r="J14" i="7"/>
  <c r="L9" i="3"/>
  <c r="I8" i="5"/>
  <c r="I16" i="5"/>
  <c r="I17" i="5" s="1"/>
  <c r="N20" i="1"/>
  <c r="M29" i="4"/>
  <c r="M30" i="4"/>
  <c r="J3" i="5"/>
  <c r="N16" i="4"/>
  <c r="O11" i="4"/>
  <c r="N19" i="4"/>
  <c r="M4" i="3"/>
  <c r="O29" i="2"/>
  <c r="O30" i="2"/>
  <c r="O20" i="6"/>
  <c r="O23" i="6"/>
  <c r="O28" i="6" s="1"/>
  <c r="Q11" i="2"/>
  <c r="P16" i="2"/>
  <c r="P19" i="2"/>
  <c r="J15" i="5"/>
  <c r="P15" i="6"/>
  <c r="P14" i="6"/>
  <c r="O29" i="6" l="1"/>
  <c r="L3" i="7"/>
  <c r="O30" i="6"/>
  <c r="K13" i="7"/>
  <c r="K13" i="5"/>
  <c r="L14" i="3"/>
  <c r="N21" i="1"/>
  <c r="N23" i="4"/>
  <c r="N28" i="4" s="1"/>
  <c r="N20" i="4"/>
  <c r="J4" i="5"/>
  <c r="J9" i="5"/>
  <c r="J5" i="5"/>
  <c r="J7" i="5" s="1"/>
  <c r="J11" i="5"/>
  <c r="Q11" i="6"/>
  <c r="P16" i="6"/>
  <c r="P19" i="6"/>
  <c r="J14" i="5"/>
  <c r="M6" i="3"/>
  <c r="M8" i="3" s="1"/>
  <c r="M5" i="3"/>
  <c r="O9" i="1"/>
  <c r="O17" i="1"/>
  <c r="M12" i="3"/>
  <c r="O11" i="1"/>
  <c r="O15" i="1"/>
  <c r="O13" i="1"/>
  <c r="O5" i="1"/>
  <c r="O7" i="1"/>
  <c r="M10" i="3"/>
  <c r="P23" i="2"/>
  <c r="P28" i="2" s="1"/>
  <c r="P20" i="2"/>
  <c r="O15" i="4"/>
  <c r="O14" i="4"/>
  <c r="K8" i="7"/>
  <c r="Q15" i="2"/>
  <c r="Q14" i="2"/>
  <c r="J8" i="5" l="1"/>
  <c r="J16" i="5"/>
  <c r="J17" i="5" s="1"/>
  <c r="L15" i="3"/>
  <c r="L16" i="3"/>
  <c r="L17" i="3" s="1"/>
  <c r="L18" i="3" s="1"/>
  <c r="M9" i="3"/>
  <c r="K15" i="5"/>
  <c r="K14" i="5"/>
  <c r="O20" i="1"/>
  <c r="K14" i="7"/>
  <c r="K15" i="7"/>
  <c r="K16" i="7" s="1"/>
  <c r="K17" i="7" s="1"/>
  <c r="P20" i="6"/>
  <c r="P23" i="6"/>
  <c r="P28" i="6" s="1"/>
  <c r="N29" i="4"/>
  <c r="K3" i="5"/>
  <c r="N30" i="4"/>
  <c r="O16" i="4"/>
  <c r="P11" i="4"/>
  <c r="O19" i="4"/>
  <c r="Q15" i="6"/>
  <c r="Q14" i="6"/>
  <c r="L11" i="7"/>
  <c r="L9" i="7"/>
  <c r="L4" i="7"/>
  <c r="L5" i="7"/>
  <c r="L7" i="7" s="1"/>
  <c r="Q16" i="2"/>
  <c r="R11" i="2"/>
  <c r="Q19" i="2"/>
  <c r="P29" i="2"/>
  <c r="N4" i="3"/>
  <c r="P30" i="2"/>
  <c r="K5" i="5" l="1"/>
  <c r="K7" i="5" s="1"/>
  <c r="K4" i="5"/>
  <c r="K9" i="5"/>
  <c r="K11" i="5"/>
  <c r="P29" i="6"/>
  <c r="P30" i="6"/>
  <c r="M3" i="7"/>
  <c r="Q23" i="2"/>
  <c r="Q28" i="2" s="1"/>
  <c r="Q20" i="2"/>
  <c r="R11" i="6"/>
  <c r="Q16" i="6"/>
  <c r="Q19" i="6"/>
  <c r="R15" i="2"/>
  <c r="R14" i="2"/>
  <c r="O20" i="4"/>
  <c r="O23" i="4"/>
  <c r="O28" i="4" s="1"/>
  <c r="P15" i="4"/>
  <c r="P14" i="4"/>
  <c r="P17" i="1"/>
  <c r="P15" i="1"/>
  <c r="P13" i="1"/>
  <c r="P9" i="1"/>
  <c r="P5" i="1"/>
  <c r="N5" i="3"/>
  <c r="N12" i="3"/>
  <c r="P11" i="1"/>
  <c r="P7" i="1"/>
  <c r="N6" i="3"/>
  <c r="N8" i="3" s="1"/>
  <c r="N10" i="3"/>
  <c r="L8" i="7"/>
  <c r="L13" i="5"/>
  <c r="O21" i="1"/>
  <c r="L13" i="7"/>
  <c r="M14" i="3"/>
  <c r="O4" i="3" l="1"/>
  <c r="Q30" i="2"/>
  <c r="Q29" i="2"/>
  <c r="M9" i="7"/>
  <c r="M4" i="7"/>
  <c r="M5" i="7"/>
  <c r="M7" i="7" s="1"/>
  <c r="M11" i="7"/>
  <c r="Q11" i="4"/>
  <c r="P16" i="4"/>
  <c r="P19" i="4"/>
  <c r="L14" i="7"/>
  <c r="L15" i="7"/>
  <c r="L16" i="7" s="1"/>
  <c r="L17" i="7" s="1"/>
  <c r="P20" i="1"/>
  <c r="Q23" i="6"/>
  <c r="Q28" i="6" s="1"/>
  <c r="Q20" i="6"/>
  <c r="O30" i="4"/>
  <c r="O29" i="4"/>
  <c r="L3" i="5"/>
  <c r="R15" i="6"/>
  <c r="R14" i="6"/>
  <c r="R16" i="2"/>
  <c r="S11" i="2"/>
  <c r="R19" i="2"/>
  <c r="L14" i="5"/>
  <c r="L15" i="5"/>
  <c r="N9" i="3"/>
  <c r="M16" i="3"/>
  <c r="M17" i="3" s="1"/>
  <c r="M18" i="3" s="1"/>
  <c r="M15" i="3"/>
  <c r="K16" i="5"/>
  <c r="K17" i="5" s="1"/>
  <c r="K8" i="5"/>
  <c r="Q30" i="6" l="1"/>
  <c r="Q29" i="6"/>
  <c r="N3" i="7"/>
  <c r="S11" i="6"/>
  <c r="R16" i="6"/>
  <c r="R19" i="6"/>
  <c r="Q14" i="4"/>
  <c r="Q15" i="4"/>
  <c r="R23" i="2"/>
  <c r="R28" i="2" s="1"/>
  <c r="R20" i="2"/>
  <c r="S15" i="2"/>
  <c r="S14" i="2"/>
  <c r="M8" i="7"/>
  <c r="P21" i="1"/>
  <c r="M13" i="7"/>
  <c r="M13" i="5"/>
  <c r="N14" i="3"/>
  <c r="L9" i="5"/>
  <c r="L5" i="5"/>
  <c r="L7" i="5" s="1"/>
  <c r="L4" i="5"/>
  <c r="L11" i="5"/>
  <c r="P20" i="4"/>
  <c r="P23" i="4"/>
  <c r="P28" i="4" s="1"/>
  <c r="O5" i="3"/>
  <c r="Q17" i="1"/>
  <c r="O12" i="3"/>
  <c r="Q11" i="1"/>
  <c r="Q9" i="1"/>
  <c r="Q5" i="1"/>
  <c r="Q20" i="1" s="1"/>
  <c r="Q7" i="1"/>
  <c r="Q15" i="1"/>
  <c r="Q13" i="1"/>
  <c r="O6" i="3"/>
  <c r="O8" i="3" s="1"/>
  <c r="O10" i="3"/>
  <c r="L16" i="5" l="1"/>
  <c r="L17" i="5" s="1"/>
  <c r="L8" i="5"/>
  <c r="S15" i="6"/>
  <c r="S14" i="6"/>
  <c r="S16" i="2"/>
  <c r="S19" i="2"/>
  <c r="N5" i="7"/>
  <c r="N7" i="7" s="1"/>
  <c r="N9" i="7"/>
  <c r="N4" i="7"/>
  <c r="N11" i="7"/>
  <c r="O9" i="3"/>
  <c r="N16" i="3"/>
  <c r="N17" i="3" s="1"/>
  <c r="N18" i="3" s="1"/>
  <c r="N15" i="3"/>
  <c r="M14" i="5"/>
  <c r="M15" i="5"/>
  <c r="R29" i="2"/>
  <c r="P4" i="3"/>
  <c r="R30" i="2"/>
  <c r="R11" i="4"/>
  <c r="Q16" i="4"/>
  <c r="Q19" i="4"/>
  <c r="Q21" i="1"/>
  <c r="N13" i="7"/>
  <c r="N13" i="5"/>
  <c r="O14" i="3"/>
  <c r="R23" i="6"/>
  <c r="R28" i="6" s="1"/>
  <c r="R20" i="6"/>
  <c r="P30" i="4"/>
  <c r="M3" i="5"/>
  <c r="P29" i="4"/>
  <c r="M15" i="7"/>
  <c r="M16" i="7" s="1"/>
  <c r="M17" i="7" s="1"/>
  <c r="M14" i="7"/>
  <c r="N8" i="7" l="1"/>
  <c r="N16" i="7"/>
  <c r="N17" i="7" s="1"/>
  <c r="Q20" i="4"/>
  <c r="Q23" i="4"/>
  <c r="Q28" i="4" s="1"/>
  <c r="M5" i="5"/>
  <c r="M7" i="5" s="1"/>
  <c r="M9" i="5"/>
  <c r="M11" i="5"/>
  <c r="M4" i="5"/>
  <c r="N15" i="7"/>
  <c r="N14" i="7"/>
  <c r="R15" i="4"/>
  <c r="R14" i="4"/>
  <c r="S16" i="6"/>
  <c r="S19" i="6"/>
  <c r="S23" i="2"/>
  <c r="S28" i="2" s="1"/>
  <c r="S20" i="2"/>
  <c r="R30" i="6"/>
  <c r="R29" i="6"/>
  <c r="O3" i="7"/>
  <c r="O16" i="3"/>
  <c r="O17" i="3" s="1"/>
  <c r="O18" i="3" s="1"/>
  <c r="O15" i="3"/>
  <c r="P12" i="3"/>
  <c r="P5" i="3"/>
  <c r="R11" i="1"/>
  <c r="R5" i="1"/>
  <c r="R7" i="1"/>
  <c r="R15" i="1"/>
  <c r="R13" i="1"/>
  <c r="R9" i="1"/>
  <c r="R17" i="1"/>
  <c r="P6" i="3"/>
  <c r="P8" i="3" s="1"/>
  <c r="P10" i="3"/>
  <c r="N15" i="5"/>
  <c r="P9" i="3" l="1"/>
  <c r="S29" i="2"/>
  <c r="Q4" i="3"/>
  <c r="S30" i="2"/>
  <c r="S23" i="6"/>
  <c r="S28" i="6" s="1"/>
  <c r="S20" i="6"/>
  <c r="M16" i="5"/>
  <c r="M17" i="5" s="1"/>
  <c r="M8" i="5"/>
  <c r="Q30" i="4"/>
  <c r="N3" i="5"/>
  <c r="Q29" i="4"/>
  <c r="O5" i="7"/>
  <c r="O7" i="7" s="1"/>
  <c r="O9" i="7"/>
  <c r="O11" i="7"/>
  <c r="O4" i="7"/>
  <c r="S11" i="4"/>
  <c r="R16" i="4"/>
  <c r="R19" i="4"/>
  <c r="R20" i="1"/>
  <c r="S30" i="6" l="1"/>
  <c r="P3" i="7"/>
  <c r="S29" i="6"/>
  <c r="O13" i="5"/>
  <c r="O13" i="7"/>
  <c r="P14" i="3"/>
  <c r="R21" i="1"/>
  <c r="R23" i="4"/>
  <c r="R28" i="4" s="1"/>
  <c r="R20" i="4"/>
  <c r="Q5" i="3"/>
  <c r="Q12" i="3"/>
  <c r="S11" i="1"/>
  <c r="S15" i="1"/>
  <c r="S13" i="1"/>
  <c r="S9" i="1"/>
  <c r="S5" i="1"/>
  <c r="S20" i="1" s="1"/>
  <c r="S7" i="1"/>
  <c r="Q6" i="3"/>
  <c r="S17" i="1"/>
  <c r="Q10" i="3"/>
  <c r="N11" i="5"/>
  <c r="N9" i="5"/>
  <c r="N5" i="5"/>
  <c r="N7" i="5" s="1"/>
  <c r="N4" i="5"/>
  <c r="N14" i="5"/>
  <c r="O8" i="7"/>
  <c r="S14" i="4"/>
  <c r="S15" i="4"/>
  <c r="P13" i="7" l="1"/>
  <c r="Q14" i="3"/>
  <c r="P13" i="5"/>
  <c r="S21" i="1"/>
  <c r="O3" i="5"/>
  <c r="R30" i="4"/>
  <c r="R29" i="4"/>
  <c r="N16" i="5"/>
  <c r="N17" i="5" s="1"/>
  <c r="N8" i="5"/>
  <c r="P16" i="3"/>
  <c r="P17" i="3" s="1"/>
  <c r="P18" i="3" s="1"/>
  <c r="P15" i="3"/>
  <c r="O14" i="5"/>
  <c r="O15" i="5"/>
  <c r="S16" i="4"/>
  <c r="S19" i="4"/>
  <c r="O14" i="7"/>
  <c r="O15" i="7"/>
  <c r="O16" i="7" s="1"/>
  <c r="O17" i="7" s="1"/>
  <c r="O22" i="3"/>
  <c r="K22" i="3" s="1"/>
  <c r="K23" i="3" s="1"/>
  <c r="Q8" i="3"/>
  <c r="P4" i="7"/>
  <c r="P9" i="7"/>
  <c r="P11" i="7"/>
  <c r="P5" i="7"/>
  <c r="P15" i="5" l="1"/>
  <c r="N21" i="7"/>
  <c r="J21" i="7" s="1"/>
  <c r="J22" i="7" s="1"/>
  <c r="P7" i="7"/>
  <c r="O9" i="5"/>
  <c r="O4" i="5"/>
  <c r="O5" i="5"/>
  <c r="O7" i="5" s="1"/>
  <c r="O11" i="5"/>
  <c r="Q16" i="3"/>
  <c r="Q15" i="3"/>
  <c r="S23" i="4"/>
  <c r="S28" i="4" s="1"/>
  <c r="S20" i="4"/>
  <c r="Q17" i="3"/>
  <c r="Q9" i="3"/>
  <c r="P14" i="7"/>
  <c r="P15" i="7"/>
  <c r="O8" i="5" l="1"/>
  <c r="O16" i="5"/>
  <c r="O17" i="5" s="1"/>
  <c r="G22" i="3"/>
  <c r="G23" i="3" s="1"/>
  <c r="Q18" i="3"/>
  <c r="P16" i="7"/>
  <c r="P8" i="7"/>
  <c r="S29" i="4"/>
  <c r="P3" i="5"/>
  <c r="S30" i="4"/>
  <c r="G24" i="3" l="1"/>
  <c r="G25" i="3" s="1"/>
  <c r="G26" i="3" s="1"/>
  <c r="G27" i="3" s="1"/>
  <c r="G28" i="3" s="1"/>
  <c r="K24" i="3"/>
  <c r="K25" i="3" s="1"/>
  <c r="K26" i="3" s="1"/>
  <c r="K27" i="3" s="1"/>
  <c r="K28" i="3" s="1"/>
  <c r="P11" i="5"/>
  <c r="P4" i="5"/>
  <c r="P9" i="5"/>
  <c r="P5" i="5"/>
  <c r="P14" i="5"/>
  <c r="F21" i="7"/>
  <c r="F22" i="7" s="1"/>
  <c r="P17" i="7"/>
  <c r="P7" i="5" l="1"/>
  <c r="N21" i="5"/>
  <c r="J21" i="5" s="1"/>
  <c r="J22" i="5" s="1"/>
  <c r="J23" i="7"/>
  <c r="J24" i="7" s="1"/>
  <c r="J25" i="7" s="1"/>
  <c r="J26" i="7" s="1"/>
  <c r="J27" i="7" s="1"/>
  <c r="F23" i="7"/>
  <c r="F24" i="7" s="1"/>
  <c r="F25" i="7" s="1"/>
  <c r="F26" i="7" s="1"/>
  <c r="E10" i="10" l="1"/>
  <c r="M12" i="10"/>
  <c r="F27" i="7"/>
  <c r="P8" i="5"/>
  <c r="P16" i="5"/>
  <c r="F21" i="5" l="1"/>
  <c r="F22" i="5" s="1"/>
  <c r="P17" i="5"/>
  <c r="J23" i="5" l="1"/>
  <c r="J24" i="5" s="1"/>
  <c r="J25" i="5" s="1"/>
  <c r="J26" i="5" s="1"/>
  <c r="J27" i="5" s="1"/>
  <c r="F23" i="5"/>
  <c r="F24" i="5" s="1"/>
  <c r="F25" i="5" s="1"/>
  <c r="F26" i="5" s="1"/>
  <c r="C10" i="10" l="1"/>
  <c r="D10" i="10" s="1"/>
  <c r="K12" i="10"/>
  <c r="L12" i="10" s="1"/>
  <c r="F27" i="5"/>
</calcChain>
</file>

<file path=xl/sharedStrings.xml><?xml version="1.0" encoding="utf-8"?>
<sst xmlns="http://schemas.openxmlformats.org/spreadsheetml/2006/main" count="454" uniqueCount="209">
  <si>
    <t>(numbers in thousands)</t>
  </si>
  <si>
    <t>NWC Build</t>
  </si>
  <si>
    <t>Historical</t>
  </si>
  <si>
    <t>Projected</t>
  </si>
  <si>
    <t>Year</t>
  </si>
  <si>
    <t>Merchandise inventories</t>
  </si>
  <si>
    <t>% of Revenue</t>
  </si>
  <si>
    <t>Income taxes recievable</t>
  </si>
  <si>
    <t>Prepaid expenses and other current assets</t>
  </si>
  <si>
    <t>Operating Lease Liabilities</t>
  </si>
  <si>
    <t>Accounts Payable</t>
  </si>
  <si>
    <t>NOTES 4/29</t>
  </si>
  <si>
    <t>Accrued expenses</t>
  </si>
  <si>
    <t xml:space="preserve">- project in terms of days </t>
  </si>
  <si>
    <t>- divide inventory balance by COGS</t>
  </si>
  <si>
    <t>Income Taxes Payable</t>
  </si>
  <si>
    <t>Net Working Capital</t>
  </si>
  <si>
    <t>Change in NWC</t>
  </si>
  <si>
    <t>-</t>
  </si>
  <si>
    <t>**Assumptions</t>
  </si>
  <si>
    <t>Inventory: This was really the only NWC item I could find discussed in any transcripts. However there is a consistent and clear message from the managetment team about their desire to reduce inventory . This is included elsewhere in our model as well.</t>
  </si>
  <si>
    <t>Operating Lease Liability: This was not touched on directly, but given our assumptions for an increase in CapEX as a % of revenue in the first 2 years I think that operating lease liability should follow suit</t>
  </si>
  <si>
    <t>Revenue Model</t>
  </si>
  <si>
    <t xml:space="preserve"># of New and Acquired Stores (U.S.) </t>
  </si>
  <si>
    <t>BASE CASE</t>
  </si>
  <si>
    <t># of New And Acquired Stores (Mexico)</t>
  </si>
  <si>
    <t>Assumptions:</t>
  </si>
  <si>
    <t># of New PopShelf Stores</t>
  </si>
  <si>
    <t>- Between 700-800 new DG stores to be built per year</t>
  </si>
  <si>
    <t># of New and Acquired Stores (Total)</t>
  </si>
  <si>
    <t>over projected period; roughly in alignment with CEO Vasos'</t>
  </si>
  <si>
    <t># of Closed Stores</t>
  </si>
  <si>
    <t xml:space="preserve">visions; PopShelf store numbers reflect earnings call quotes and </t>
  </si>
  <si>
    <t>general optimistic sentiment surrounding performance of the brand</t>
  </si>
  <si>
    <t># of Beginning Stores</t>
  </si>
  <si>
    <t xml:space="preserve">- store closures to remain an average of historical five-year period numbers; </t>
  </si>
  <si>
    <t xml:space="preserve"># of New and Acquired Stores </t>
  </si>
  <si>
    <t>predict consistency with store closures following risks like poor sales performance</t>
  </si>
  <si>
    <t>in select locations and higher-than-expected operating costs</t>
  </si>
  <si>
    <t>Closed Stores Proportion</t>
  </si>
  <si>
    <t>- Average sales per square foot to remain steady over projected period; increased</t>
  </si>
  <si>
    <t xml:space="preserve"># of Ending Stores </t>
  </si>
  <si>
    <t>store sizes (bringing down these numbers) is offset by improved inventory distribution</t>
  </si>
  <si>
    <t>Growth Rate in # of Stores</t>
  </si>
  <si>
    <t>and reduction of shrink --&gt; consistent projected numbers</t>
  </si>
  <si>
    <t>Selling Square Footage (in thousands)</t>
  </si>
  <si>
    <t>Growth Rate of Selling Square Footage</t>
  </si>
  <si>
    <t xml:space="preserve">Average Square Foot per Store </t>
  </si>
  <si>
    <t>- aligns with target of store to expand store sizes to</t>
  </si>
  <si>
    <t>Growth Rate of Average Square Foot per Store</t>
  </si>
  <si>
    <t>include more 8500 sq ft. store formats</t>
  </si>
  <si>
    <t>Average Sales per Square Foot</t>
  </si>
  <si>
    <t>Growth Rate of Average Sales per Square Foot</t>
  </si>
  <si>
    <t>Revenue Projections</t>
  </si>
  <si>
    <t>Total Revenue</t>
  </si>
  <si>
    <t>Growth Rate of Total Revenue</t>
  </si>
  <si>
    <t xml:space="preserve">COGS + Operating Costs </t>
  </si>
  <si>
    <t>Total Store Sales by Segment</t>
  </si>
  <si>
    <t>% Sales of Consumables</t>
  </si>
  <si>
    <t>Growth Rate of Consumables Sales</t>
  </si>
  <si>
    <t>% Sales of Seasonal</t>
  </si>
  <si>
    <t>Growth Rate of Seasonal Sales</t>
  </si>
  <si>
    <t>% Sales of Home Products</t>
  </si>
  <si>
    <t>Growth Rate of Home Products Sales</t>
  </si>
  <si>
    <t>% Sales of Apparel</t>
  </si>
  <si>
    <t>Growth Rate of Apparel Sales</t>
  </si>
  <si>
    <t>All numbers in millions of dollars.</t>
  </si>
  <si>
    <t>Revenue</t>
  </si>
  <si>
    <t>revenue growth</t>
  </si>
  <si>
    <t>EBIT</t>
  </si>
  <si>
    <t>%rev</t>
  </si>
  <si>
    <t>NOPAT</t>
  </si>
  <si>
    <t>(+) D&amp;A</t>
  </si>
  <si>
    <t>(-) CapEx</t>
  </si>
  <si>
    <t>NWC</t>
  </si>
  <si>
    <t>FCF</t>
  </si>
  <si>
    <t>Discounted FCF</t>
  </si>
  <si>
    <t>WACC Calculation</t>
  </si>
  <si>
    <t>Terminal Value: Gordon Growth Method</t>
  </si>
  <si>
    <t>Terminal Value: Exit Multiples Method</t>
  </si>
  <si>
    <t>Risk Free</t>
  </si>
  <si>
    <t>Terminal Growth Rate</t>
  </si>
  <si>
    <t>Median EV/EBITDA</t>
  </si>
  <si>
    <t>FINAL YEAR EBITDA</t>
  </si>
  <si>
    <t>Unlevered Beta</t>
  </si>
  <si>
    <t>Terminal Value</t>
  </si>
  <si>
    <t>Levered Beta</t>
  </si>
  <si>
    <t>Present Value of TV</t>
  </si>
  <si>
    <t>Equity Risk Premium</t>
  </si>
  <si>
    <t>Sum of Near Term Cash Flows</t>
  </si>
  <si>
    <t>Implied Enterprise Value</t>
  </si>
  <si>
    <t>Effective Tax Rate</t>
  </si>
  <si>
    <t>Implied Equity Value</t>
  </si>
  <si>
    <t>Cost of Equity</t>
  </si>
  <si>
    <t>Implied Share Price</t>
  </si>
  <si>
    <t>Cost of Debt</t>
  </si>
  <si>
    <t>Upside</t>
  </si>
  <si>
    <t>Current Stock Price</t>
  </si>
  <si>
    <t>Shares Outstanding</t>
  </si>
  <si>
    <t>Market Cap</t>
  </si>
  <si>
    <t>Total Debt</t>
  </si>
  <si>
    <t>Net Debt</t>
  </si>
  <si>
    <t>Percent Equity</t>
  </si>
  <si>
    <t>Percent Debt</t>
  </si>
  <si>
    <t>WACC</t>
  </si>
  <si>
    <r>
      <rPr>
        <sz val="10"/>
        <color theme="1"/>
        <rFont val="Arial"/>
        <family val="2"/>
      </rPr>
      <t>*</t>
    </r>
    <r>
      <rPr>
        <b/>
        <sz val="10"/>
        <color theme="1"/>
        <rFont val="Arial"/>
        <family val="2"/>
      </rPr>
      <t xml:space="preserve"> add popshelf as separate line items</t>
    </r>
  </si>
  <si>
    <t>BEAR CASE:</t>
  </si>
  <si>
    <t>- PopShelf tanks; doesn't attract the customer base Vasos wants; still growt in the number of stores, just not at a very high rate year over year</t>
  </si>
  <si>
    <t>- more store closure, due to initiatives to fix shrink and poor bloated inventory failing</t>
  </si>
  <si>
    <t>- Possible distrust starting to grow with Vasos, whose statements can be seen as a bit</t>
  </si>
  <si>
    <t>too optimistic given the poor economic year DG just went through in 2023</t>
  </si>
  <si>
    <t>- very low rate of growth; inventory not being distributed as well as the company wants,</t>
  </si>
  <si>
    <t xml:space="preserve">cutting back on concrete efforts to expand selling space so as to minimize operating costs </t>
  </si>
  <si>
    <t>- does not meet goal of expanding stores (~8500 t0 9000 sq ft)</t>
  </si>
  <si>
    <t xml:space="preserve">- shrink and inventory problems are not properly tackled; sales per square foot decreases year over year </t>
  </si>
  <si>
    <t>after 2026 - the year in which PopShelf is projected to reach its peak (same assumption here, we just assume the peak isn't as high</t>
  </si>
  <si>
    <t>- revenue takes a hit due to poor sales and lack of following through on promises</t>
  </si>
  <si>
    <t>made by the company's board; we may see store closures like Dollar Tree in the near future given this case...</t>
  </si>
  <si>
    <t>- projected revenue loss yoy beginning FY 2029; long term issues of shrink and inventory are not properly tackled</t>
  </si>
  <si>
    <t>COGS + Operating Costs</t>
  </si>
  <si>
    <t>Vasos' reappointment, which appears good on paper, has not worked to put the company back on track</t>
  </si>
  <si>
    <t>following Owen's disastrous tenure; warning signs before this revenue loss include</t>
  </si>
  <si>
    <t>poor Popshelf performance, stagnant to no growth in Mexico (international) sector</t>
  </si>
  <si>
    <t xml:space="preserve">representative of the company trying to tackle intrinsic store-related problems by opening stores in </t>
  </si>
  <si>
    <t>a new location (doesn't project to work out in this case)</t>
  </si>
  <si>
    <t>- DG will always be a staple for low-income communities for customers with no alternate options,</t>
  </si>
  <si>
    <t>which explains why rev loss percentage yoy is never above 3-4%; however, this loss</t>
  </si>
  <si>
    <t>in revenue should explain our bearish assumptions that Vasos' reappointment</t>
  </si>
  <si>
    <t xml:space="preserve">has a possibility of not fulfilling the company's current high hopes surrounding </t>
  </si>
  <si>
    <t xml:space="preserve">solving poor 2022-23 finances, as well as on-paper statements about tackling shrink, bloated inventory, and </t>
  </si>
  <si>
    <t xml:space="preserve">fluctuating sales per square foot </t>
  </si>
  <si>
    <r>
      <rPr>
        <sz val="10"/>
        <color theme="1"/>
        <rFont val="Arial"/>
        <family val="2"/>
      </rPr>
      <t>*</t>
    </r>
    <r>
      <rPr>
        <b/>
        <sz val="10"/>
        <color theme="1"/>
        <rFont val="Arial"/>
        <family val="2"/>
      </rPr>
      <t xml:space="preserve"> add popshelf as separate line items</t>
    </r>
  </si>
  <si>
    <t>BULL CASE:</t>
  </si>
  <si>
    <r>
      <rPr>
        <b/>
        <sz val="10"/>
        <color theme="1"/>
        <rFont val="Arial"/>
        <family val="2"/>
      </rPr>
      <t xml:space="preserve">- </t>
    </r>
    <r>
      <rPr>
        <sz val="10"/>
        <color theme="1"/>
        <rFont val="Arial"/>
        <family val="2"/>
      </rPr>
      <t xml:space="preserve">Mexican market loves DG - low operating costs also prove advantageous for the company to not only fix its operating margin, but also allows it to employ more employees to combat shrink and aligns with effots to remove self-checkout </t>
    </r>
  </si>
  <si>
    <t>- we believe Mexico is a promising aspect of DG's future plans that is currently not priced in, given little to no talks or activity about Mexican expansion</t>
  </si>
  <si>
    <t>in any recent earnings calls, reports, or research, coupled with slow growth to begin with under Vasos' return</t>
  </si>
  <si>
    <t>x</t>
  </si>
  <si>
    <t>Ticker</t>
  </si>
  <si>
    <t>Company Name</t>
  </si>
  <si>
    <t>Market Cap ($ In Millions)</t>
  </si>
  <si>
    <t>Current FY P-E</t>
  </si>
  <si>
    <t>Net Margin (%)</t>
  </si>
  <si>
    <t>EPS</t>
  </si>
  <si>
    <t>5-Year Growth Rate</t>
  </si>
  <si>
    <t>EV</t>
  </si>
  <si>
    <t>EBITDA</t>
  </si>
  <si>
    <t>EV/EBITDA Multiple</t>
  </si>
  <si>
    <t>Valuation Analysis</t>
  </si>
  <si>
    <t>DG</t>
  </si>
  <si>
    <t>Dollar General Corp</t>
  </si>
  <si>
    <t>(US$ in millions, except Multiples and Per Share Data)</t>
  </si>
  <si>
    <t>DLTR</t>
  </si>
  <si>
    <t>Dollar Tree Inc</t>
  </si>
  <si>
    <t>Share</t>
  </si>
  <si>
    <t>Equity</t>
  </si>
  <si>
    <t>Enterprise</t>
  </si>
  <si>
    <t>EV / Revenue (x)</t>
  </si>
  <si>
    <t>EV / EBITDA (x)</t>
  </si>
  <si>
    <t>TGT</t>
  </si>
  <si>
    <t>Target Corp</t>
  </si>
  <si>
    <t>Company</t>
  </si>
  <si>
    <t>Price</t>
  </si>
  <si>
    <t>Value</t>
  </si>
  <si>
    <t>2024(E)</t>
  </si>
  <si>
    <t>2025(E)</t>
  </si>
  <si>
    <t>KR</t>
  </si>
  <si>
    <t>Kroger Co</t>
  </si>
  <si>
    <t>Mister Car Wash Inc</t>
  </si>
  <si>
    <t>CVS</t>
  </si>
  <si>
    <t>CVS Health Corp</t>
  </si>
  <si>
    <t>Aftermarket Auto Part Retailers</t>
  </si>
  <si>
    <t>PSMT</t>
  </si>
  <si>
    <t>PriceSmart Inc</t>
  </si>
  <si>
    <t>O'Reilly Automotive Inc</t>
  </si>
  <si>
    <t>DKS</t>
  </si>
  <si>
    <t>DICK'S Sporting Goods Inc</t>
  </si>
  <si>
    <t>Autozone Inc</t>
  </si>
  <si>
    <t>TJX</t>
  </si>
  <si>
    <t>TJX Companies Inc</t>
  </si>
  <si>
    <t>Advance Auto Parts Inc</t>
  </si>
  <si>
    <t>FIVE</t>
  </si>
  <si>
    <t>Five Below Inc</t>
  </si>
  <si>
    <t>Genuine Parts Co</t>
  </si>
  <si>
    <t>Peer Average</t>
  </si>
  <si>
    <t>Median</t>
  </si>
  <si>
    <t>--</t>
  </si>
  <si>
    <t>Auto Service Retailers</t>
  </si>
  <si>
    <t>Driven Brands Holdings Inc</t>
  </si>
  <si>
    <t>Valvoline Inc</t>
  </si>
  <si>
    <t>Total Median</t>
  </si>
  <si>
    <t>5-Year Growth Rate (%)</t>
  </si>
  <si>
    <t>Sensitivity Table</t>
  </si>
  <si>
    <t>Multiple</t>
  </si>
  <si>
    <t>Football Field</t>
  </si>
  <si>
    <t>Low</t>
  </si>
  <si>
    <t>High-Low Increment</t>
  </si>
  <si>
    <t>High for Label</t>
  </si>
  <si>
    <t>52 Week Range</t>
  </si>
  <si>
    <t>Comparable Companies 2024(E) EV/Revenue</t>
  </si>
  <si>
    <t>Analyst Recomendations</t>
  </si>
  <si>
    <t>Comparable Companies 2025(E) EV/Revenue</t>
  </si>
  <si>
    <t>DCF Bear/Bull</t>
  </si>
  <si>
    <t>Comparable Companies 2024(E) EV/EBITDA</t>
  </si>
  <si>
    <t>Comps 1 (yet to do)</t>
  </si>
  <si>
    <t>Comparable Companies 2025(E) EV/EBITDA</t>
  </si>
  <si>
    <t>Comps 2 (yet to do)</t>
  </si>
  <si>
    <t>DCF</t>
  </si>
  <si>
    <t>Research Price Target</t>
  </si>
  <si>
    <t>Current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</si>
</sst>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00"/>
    <numFmt numFmtId="165" formatCode="#,##0.00;\(#,##0.00\)"/>
    <numFmt numFmtId="166" formatCode="0.000"/>
    <numFmt numFmtId="167" formatCode="0.0\x"/>
    <numFmt numFmtId="168" formatCode="0.0"/>
    <numFmt numFmtId="169" formatCode="&quot;$&quot;#,##0"/>
    <numFmt numFmtId="170" formatCode="#,##0.0"/>
    <numFmt numFmtId="171" formatCode="#,##0.00\x"/>
  </numFmts>
  <fonts count="51">
    <font>
      <sz val="10"/>
      <color rgb="FF000000"/>
      <name val="Arial"/>
      <scheme val="minor"/>
    </font>
    <font>
      <sz val="10"/>
      <color theme="1"/>
      <name val="Palatino"/>
      <family val="1"/>
    </font>
    <font>
      <sz val="10"/>
      <color theme="1"/>
      <name val="Arial"/>
      <family val="2"/>
    </font>
    <font>
      <b/>
      <sz val="11"/>
      <color rgb="FFFFFFFF"/>
      <name val="&quot;Palatino Linotype&quot;"/>
    </font>
    <font>
      <b/>
      <sz val="10"/>
      <color theme="1"/>
      <name val="&quot;Palatino Linotype&quot;"/>
    </font>
    <font>
      <b/>
      <sz val="10"/>
      <color theme="1"/>
      <name val="Palatino"/>
      <family val="1"/>
    </font>
    <font>
      <sz val="10"/>
      <color theme="1"/>
      <name val="Palatino"/>
      <family val="1"/>
    </font>
    <font>
      <sz val="10"/>
      <color theme="4"/>
      <name val="Palatino"/>
      <family val="1"/>
    </font>
    <font>
      <i/>
      <sz val="10"/>
      <color theme="1"/>
      <name val="Palatino"/>
      <family val="1"/>
    </font>
    <font>
      <i/>
      <sz val="10"/>
      <color theme="1"/>
      <name val="Palatino"/>
      <family val="1"/>
    </font>
    <font>
      <i/>
      <sz val="9"/>
      <color theme="1"/>
      <name val="Palatino"/>
      <family val="1"/>
    </font>
    <font>
      <sz val="10"/>
      <color theme="1"/>
      <name val="Arial"/>
      <family val="2"/>
      <scheme val="minor"/>
    </font>
    <font>
      <sz val="10"/>
      <color theme="4"/>
      <name val="Palatino"/>
      <family val="1"/>
    </font>
    <font>
      <b/>
      <sz val="10"/>
      <color theme="1"/>
      <name val="Arial"/>
      <family val="2"/>
      <scheme val="minor"/>
    </font>
    <font>
      <b/>
      <sz val="10"/>
      <color theme="1"/>
      <name val="Arial"/>
      <family val="2"/>
    </font>
    <font>
      <sz val="10"/>
      <color rgb="FF000000"/>
      <name val="Arial"/>
      <family val="2"/>
    </font>
    <font>
      <sz val="10"/>
      <color theme="1"/>
      <name val="&quot;Palatino Linotype&quot;"/>
    </font>
    <font>
      <i/>
      <sz val="9"/>
      <color theme="1"/>
      <name val="Arial"/>
      <family val="2"/>
    </font>
    <font>
      <sz val="10"/>
      <color theme="1"/>
      <name val="Palatino Linotype"/>
      <family val="1"/>
    </font>
    <font>
      <sz val="10"/>
      <color rgb="FF4285F4"/>
      <name val="&quot;Palatino Linotype&quot;"/>
    </font>
    <font>
      <sz val="10"/>
      <color theme="4"/>
      <name val="&quot;Palatino Linotype&quot;"/>
    </font>
    <font>
      <i/>
      <sz val="9"/>
      <color theme="1"/>
      <name val="&quot;Palatino Linotype&quot;"/>
    </font>
    <font>
      <i/>
      <sz val="9"/>
      <color rgb="FF000000"/>
      <name val="&quot;Palatino Linotype&quot;"/>
    </font>
    <font>
      <b/>
      <sz val="10"/>
      <color theme="1"/>
      <name val="Verdana"/>
      <family val="2"/>
    </font>
    <font>
      <i/>
      <sz val="9"/>
      <color theme="4"/>
      <name val="&quot;Palatino Linotype&quot;"/>
    </font>
    <font>
      <i/>
      <sz val="9"/>
      <color rgb="FF4285F4"/>
      <name val="&quot;Palatino Linotype&quot;"/>
    </font>
    <font>
      <sz val="10"/>
      <color rgb="FF0000DD"/>
      <name val="Verdana"/>
      <family val="2"/>
    </font>
    <font>
      <b/>
      <sz val="10"/>
      <color rgb="FFFFFFFF"/>
      <name val="Palatino"/>
      <family val="1"/>
    </font>
    <font>
      <sz val="10"/>
      <name val="Arial"/>
      <family val="2"/>
    </font>
    <font>
      <sz val="10"/>
      <color rgb="FF4285F4"/>
      <name val="Palatino"/>
      <family val="1"/>
    </font>
    <font>
      <i/>
      <sz val="9"/>
      <color theme="4"/>
      <name val="Palatino"/>
      <family val="1"/>
    </font>
    <font>
      <i/>
      <sz val="9"/>
      <color rgb="FF4285F4"/>
      <name val="Palatino"/>
      <family val="1"/>
    </font>
    <font>
      <i/>
      <sz val="9"/>
      <color rgb="FF000000"/>
      <name val="Palatino"/>
      <family val="1"/>
    </font>
    <font>
      <sz val="10"/>
      <color rgb="FF000000"/>
      <name val="Palatino Linotype"/>
      <family val="1"/>
    </font>
    <font>
      <b/>
      <u/>
      <sz val="12"/>
      <color rgb="FF000000"/>
      <name val="EB Garamond"/>
    </font>
    <font>
      <b/>
      <u/>
      <sz val="12"/>
      <color rgb="FF000000"/>
      <name val="EB Garamond"/>
    </font>
    <font>
      <b/>
      <sz val="11"/>
      <color rgb="FF000000"/>
      <name val="EB Garamond"/>
    </font>
    <font>
      <b/>
      <sz val="13"/>
      <color rgb="FF00008C"/>
      <name val="&quot;Helvetica Neue&quot;"/>
    </font>
    <font>
      <sz val="11"/>
      <color rgb="FF000000"/>
      <name val="EB Garamond"/>
    </font>
    <font>
      <sz val="11"/>
      <color theme="1"/>
      <name val="EB Garamond"/>
    </font>
    <font>
      <sz val="8"/>
      <color theme="1"/>
      <name val="&quot;Helvetica Neue&quot;"/>
    </font>
    <font>
      <b/>
      <sz val="10"/>
      <color rgb="FF00008C"/>
      <name val="&quot;Helvetica Neue&quot;"/>
    </font>
    <font>
      <b/>
      <sz val="9"/>
      <color theme="1"/>
      <name val="&quot;Helvetica Neue&quot;"/>
    </font>
    <font>
      <sz val="9"/>
      <color theme="1"/>
      <name val="&quot;Helvetica Neue&quot;"/>
    </font>
    <font>
      <b/>
      <sz val="11"/>
      <color theme="1"/>
      <name val="EB Garamond"/>
    </font>
    <font>
      <sz val="10"/>
      <color rgb="FF0000FF"/>
      <name val="Arial"/>
      <family val="2"/>
    </font>
    <font>
      <b/>
      <sz val="10"/>
      <color rgb="FF000000"/>
      <name val="&quot;Open Sans&quot;"/>
    </font>
    <font>
      <sz val="10"/>
      <color rgb="FF000000"/>
      <name val="&quot;Open Sans&quot;"/>
    </font>
    <font>
      <sz val="10"/>
      <color rgb="FF0000FF"/>
      <name val="&quot;Open Sans&quot;"/>
    </font>
    <font>
      <sz val="24"/>
      <color rgb="FF1F1F1F"/>
      <name val="&quot;Google Sans&quot;"/>
    </font>
    <font>
      <sz val="11"/>
      <color theme="1"/>
      <name val="Calibri"/>
      <family val="2"/>
    </font>
  </fonts>
  <fills count="16">
    <fill>
      <patternFill patternType="none"/>
    </fill>
    <fill>
      <patternFill patternType="gray125"/>
    </fill>
    <fill>
      <patternFill patternType="solid">
        <fgColor rgb="FF23854C"/>
        <bgColor rgb="FF23854C"/>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E06666"/>
        <bgColor rgb="FFE06666"/>
      </patternFill>
    </fill>
    <fill>
      <patternFill patternType="solid">
        <fgColor rgb="FFCCCCCC"/>
        <bgColor rgb="FFCCCCCC"/>
      </patternFill>
    </fill>
    <fill>
      <patternFill patternType="solid">
        <fgColor rgb="FF000000"/>
        <bgColor rgb="FF000000"/>
      </patternFill>
    </fill>
    <fill>
      <patternFill patternType="solid">
        <fgColor rgb="FF45923D"/>
        <bgColor rgb="FF45923D"/>
      </patternFill>
    </fill>
    <fill>
      <patternFill patternType="solid">
        <fgColor rgb="FFCFE2F3"/>
        <bgColor rgb="FFCFE2F3"/>
      </patternFill>
    </fill>
    <fill>
      <patternFill patternType="solid">
        <fgColor rgb="FFFFF2CC"/>
        <bgColor rgb="FFFFF2CC"/>
      </patternFill>
    </fill>
    <fill>
      <patternFill patternType="solid">
        <fgColor rgb="FFFEFFFF"/>
        <bgColor rgb="FFFEFFFF"/>
      </patternFill>
    </fill>
    <fill>
      <patternFill patternType="solid">
        <fgColor rgb="FFFDFFFE"/>
        <bgColor rgb="FFFDFFFE"/>
      </patternFill>
    </fill>
    <fill>
      <patternFill patternType="solid">
        <fgColor rgb="FFFCFEFD"/>
        <bgColor rgb="FFFCFEFD"/>
      </patternFill>
    </fill>
    <fill>
      <patternFill patternType="solid">
        <fgColor rgb="FFFBFEFC"/>
        <bgColor rgb="FFFBFEFC"/>
      </patternFill>
    </fill>
  </fills>
  <borders count="12">
    <border>
      <left/>
      <right/>
      <top/>
      <bottom/>
      <diagonal/>
    </border>
    <border>
      <left/>
      <right style="thin">
        <color rgb="FF000000"/>
      </right>
      <top/>
      <bottom/>
      <diagonal/>
    </border>
    <border>
      <left style="thin">
        <color rgb="FF000000"/>
      </left>
      <right/>
      <top/>
      <bottom/>
      <diagonal/>
    </border>
    <border>
      <left/>
      <right style="medium">
        <color rgb="FF000000"/>
      </right>
      <top/>
      <bottom/>
      <diagonal/>
    </border>
    <border>
      <left/>
      <right/>
      <top/>
      <bottom style="hair">
        <color rgb="FF00008C"/>
      </bottom>
      <diagonal/>
    </border>
    <border>
      <left/>
      <right/>
      <top/>
      <bottom style="medium">
        <color rgb="FF00008C"/>
      </bottom>
      <diagonal/>
    </border>
    <border>
      <left/>
      <right/>
      <top/>
      <bottom style="medium">
        <color rgb="FF000000"/>
      </bottom>
      <diagonal/>
    </border>
    <border>
      <left/>
      <right/>
      <top/>
      <bottom style="thin">
        <color rgb="FF000000"/>
      </bottom>
      <diagonal/>
    </border>
    <border>
      <left/>
      <right/>
      <top/>
      <bottom style="hair">
        <color rgb="FF000000"/>
      </bottom>
      <diagonal/>
    </border>
    <border>
      <left/>
      <right style="hair">
        <color rgb="FF000000"/>
      </right>
      <top/>
      <bottom/>
      <diagonal/>
    </border>
    <border>
      <left/>
      <right style="hair">
        <color rgb="FF000000"/>
      </right>
      <top/>
      <bottom style="hair">
        <color rgb="FF000000"/>
      </bottom>
      <diagonal/>
    </border>
    <border>
      <left/>
      <right/>
      <top style="thin">
        <color rgb="FF000000"/>
      </top>
      <bottom/>
      <diagonal/>
    </border>
  </borders>
  <cellStyleXfs count="1">
    <xf numFmtId="0" fontId="0" fillId="0" borderId="0"/>
  </cellStyleXfs>
  <cellXfs count="218">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3" fillId="3" borderId="0" xfId="0" applyFont="1" applyFill="1" applyAlignment="1">
      <alignment horizontal="center"/>
    </xf>
    <xf numFmtId="0" fontId="2" fillId="3" borderId="0" xfId="0" applyFont="1" applyFill="1"/>
    <xf numFmtId="0" fontId="2" fillId="4" borderId="0" xfId="0" applyFont="1" applyFill="1"/>
    <xf numFmtId="0" fontId="4" fillId="3" borderId="0" xfId="0" applyFont="1" applyFill="1"/>
    <xf numFmtId="0" fontId="4" fillId="4" borderId="0" xfId="0" applyFont="1" applyFill="1"/>
    <xf numFmtId="0" fontId="4" fillId="4" borderId="0" xfId="0" applyFont="1" applyFill="1" applyAlignment="1">
      <alignment horizontal="center"/>
    </xf>
    <xf numFmtId="0" fontId="4" fillId="4" borderId="1" xfId="0" applyFont="1" applyFill="1" applyBorder="1" applyAlignment="1">
      <alignment horizontal="center"/>
    </xf>
    <xf numFmtId="0" fontId="5" fillId="0" borderId="0" xfId="0" applyFont="1" applyAlignment="1">
      <alignment horizontal="center"/>
    </xf>
    <xf numFmtId="0" fontId="1" fillId="3" borderId="0" xfId="0" applyFont="1" applyFill="1"/>
    <xf numFmtId="0" fontId="1" fillId="5" borderId="0" xfId="0" applyFont="1" applyFill="1"/>
    <xf numFmtId="0" fontId="2" fillId="5" borderId="0" xfId="0" applyFont="1" applyFill="1"/>
    <xf numFmtId="164" fontId="1" fillId="0" borderId="0" xfId="0" applyNumberFormat="1" applyFont="1"/>
    <xf numFmtId="164" fontId="6" fillId="0" borderId="1" xfId="0" applyNumberFormat="1" applyFont="1" applyBorder="1" applyAlignment="1">
      <alignment horizontal="right"/>
    </xf>
    <xf numFmtId="164" fontId="7" fillId="0" borderId="0" xfId="0" applyNumberFormat="1" applyFont="1" applyAlignment="1">
      <alignment horizontal="right"/>
    </xf>
    <xf numFmtId="0" fontId="2" fillId="0" borderId="0" xfId="0" applyFont="1" applyAlignment="1">
      <alignment horizontal="center" wrapText="1"/>
    </xf>
    <xf numFmtId="0" fontId="8" fillId="3" borderId="0" xfId="0" applyFont="1" applyFill="1"/>
    <xf numFmtId="0" fontId="8" fillId="5" borderId="0" xfId="0" applyFont="1" applyFill="1"/>
    <xf numFmtId="10" fontId="9" fillId="0" borderId="0" xfId="0" applyNumberFormat="1" applyFont="1" applyAlignment="1">
      <alignment horizontal="right"/>
    </xf>
    <xf numFmtId="10" fontId="9" fillId="0" borderId="1" xfId="0" applyNumberFormat="1" applyFont="1" applyBorder="1" applyAlignment="1">
      <alignment horizontal="right"/>
    </xf>
    <xf numFmtId="9" fontId="9" fillId="0" borderId="0" xfId="0" applyNumberFormat="1" applyFont="1" applyAlignment="1">
      <alignment horizontal="right"/>
    </xf>
    <xf numFmtId="10" fontId="8" fillId="0" borderId="0" xfId="0" applyNumberFormat="1" applyFont="1" applyAlignment="1">
      <alignment horizontal="right" wrapText="1"/>
    </xf>
    <xf numFmtId="0" fontId="1" fillId="6" borderId="0" xfId="0" applyFont="1" applyFill="1"/>
    <xf numFmtId="164" fontId="7" fillId="0" borderId="0" xfId="0" applyNumberFormat="1" applyFont="1"/>
    <xf numFmtId="0" fontId="8" fillId="6" borderId="0" xfId="0" applyFont="1" applyFill="1"/>
    <xf numFmtId="0" fontId="2" fillId="6" borderId="0" xfId="0" applyFont="1" applyFill="1"/>
    <xf numFmtId="10" fontId="10" fillId="0" borderId="0" xfId="0" applyNumberFormat="1" applyFont="1"/>
    <xf numFmtId="10" fontId="10" fillId="4" borderId="0" xfId="0" applyNumberFormat="1" applyFont="1" applyFill="1"/>
    <xf numFmtId="0" fontId="11" fillId="0" borderId="0" xfId="0" applyFont="1"/>
    <xf numFmtId="164" fontId="12" fillId="0" borderId="0" xfId="0" applyNumberFormat="1" applyFont="1" applyAlignment="1">
      <alignment horizontal="right"/>
    </xf>
    <xf numFmtId="0" fontId="13" fillId="0" borderId="0" xfId="0" applyFont="1"/>
    <xf numFmtId="0" fontId="8" fillId="0" borderId="0" xfId="0" applyFont="1"/>
    <xf numFmtId="10" fontId="10" fillId="0" borderId="0" xfId="0" applyNumberFormat="1" applyFont="1" applyAlignment="1">
      <alignment horizontal="right"/>
    </xf>
    <xf numFmtId="9" fontId="10" fillId="0" borderId="0" xfId="0" applyNumberFormat="1" applyFont="1" applyAlignment="1">
      <alignment horizontal="right"/>
    </xf>
    <xf numFmtId="0" fontId="14" fillId="0" borderId="0" xfId="0" applyFont="1" applyAlignment="1">
      <alignment horizontal="center"/>
    </xf>
    <xf numFmtId="0" fontId="1" fillId="7" borderId="0" xfId="0" applyFont="1" applyFill="1"/>
    <xf numFmtId="0" fontId="2" fillId="7" borderId="0" xfId="0" applyFont="1" applyFill="1"/>
    <xf numFmtId="164" fontId="6" fillId="0" borderId="0" xfId="0" applyNumberFormat="1" applyFont="1" applyAlignment="1">
      <alignment horizontal="right"/>
    </xf>
    <xf numFmtId="0" fontId="8" fillId="7" borderId="0" xfId="0" applyFont="1" applyFill="1"/>
    <xf numFmtId="164" fontId="6" fillId="0" borderId="0" xfId="0" applyNumberFormat="1" applyFont="1"/>
    <xf numFmtId="164" fontId="6" fillId="0" borderId="1" xfId="0" applyNumberFormat="1" applyFont="1" applyBorder="1"/>
    <xf numFmtId="0" fontId="1" fillId="0" borderId="0" xfId="0" applyFont="1" applyAlignment="1">
      <alignment horizontal="right"/>
    </xf>
    <xf numFmtId="0" fontId="2" fillId="0" borderId="0" xfId="0" applyFont="1" applyAlignment="1">
      <alignment horizontal="center"/>
    </xf>
    <xf numFmtId="0" fontId="15" fillId="4" borderId="0" xfId="0" applyFont="1" applyFill="1" applyAlignment="1">
      <alignment horizontal="left"/>
    </xf>
    <xf numFmtId="0" fontId="5" fillId="0" borderId="0" xfId="0" applyFont="1"/>
    <xf numFmtId="0" fontId="2" fillId="8" borderId="0" xfId="0" applyFont="1" applyFill="1"/>
    <xf numFmtId="10" fontId="10" fillId="8" borderId="0" xfId="0" applyNumberFormat="1" applyFont="1" applyFill="1" applyAlignment="1">
      <alignment horizontal="right"/>
    </xf>
    <xf numFmtId="3" fontId="5" fillId="8" borderId="0" xfId="0" applyNumberFormat="1" applyFont="1" applyFill="1" applyAlignment="1">
      <alignment horizontal="right"/>
    </xf>
    <xf numFmtId="4" fontId="16" fillId="4" borderId="0" xfId="0" applyNumberFormat="1" applyFont="1" applyFill="1" applyAlignment="1">
      <alignment horizontal="right"/>
    </xf>
    <xf numFmtId="4" fontId="1" fillId="0" borderId="0" xfId="0" applyNumberFormat="1" applyFont="1" applyAlignment="1">
      <alignment horizontal="right"/>
    </xf>
    <xf numFmtId="0" fontId="17" fillId="0" borderId="0" xfId="0" applyFont="1" applyAlignment="1">
      <alignment horizontal="center"/>
    </xf>
    <xf numFmtId="0" fontId="2" fillId="0" borderId="2" xfId="0" applyFont="1" applyBorder="1"/>
    <xf numFmtId="10" fontId="2" fillId="0" borderId="0" xfId="0" applyNumberFormat="1" applyFont="1"/>
    <xf numFmtId="10" fontId="1" fillId="0" borderId="0" xfId="0" applyNumberFormat="1" applyFont="1" applyAlignment="1">
      <alignment horizontal="right"/>
    </xf>
    <xf numFmtId="9" fontId="1" fillId="0" borderId="0" xfId="0" applyNumberFormat="1" applyFont="1" applyAlignment="1">
      <alignment horizontal="right"/>
    </xf>
    <xf numFmtId="0" fontId="10" fillId="0" borderId="0" xfId="0" applyFont="1" applyAlignment="1">
      <alignment horizontal="center"/>
    </xf>
    <xf numFmtId="0" fontId="1" fillId="0" borderId="1" xfId="0" applyFont="1" applyBorder="1" applyAlignment="1">
      <alignment horizontal="right"/>
    </xf>
    <xf numFmtId="0" fontId="14" fillId="0" borderId="0" xfId="0" applyFont="1"/>
    <xf numFmtId="0" fontId="1" fillId="8" borderId="0" xfId="0" applyFont="1" applyFill="1"/>
    <xf numFmtId="0" fontId="1" fillId="0" borderId="1" xfId="0" applyFont="1" applyBorder="1"/>
    <xf numFmtId="10" fontId="10" fillId="0" borderId="1" xfId="0" applyNumberFormat="1" applyFont="1" applyBorder="1" applyAlignment="1">
      <alignment horizontal="right"/>
    </xf>
    <xf numFmtId="1" fontId="1" fillId="0" borderId="0" xfId="0" applyNumberFormat="1" applyFont="1" applyAlignment="1">
      <alignment horizontal="right"/>
    </xf>
    <xf numFmtId="0" fontId="2" fillId="8" borderId="1" xfId="0" applyFont="1" applyFill="1" applyBorder="1"/>
    <xf numFmtId="3" fontId="5" fillId="0" borderId="0" xfId="0" applyNumberFormat="1" applyFont="1" applyAlignment="1">
      <alignment horizontal="right"/>
    </xf>
    <xf numFmtId="0" fontId="2" fillId="0" borderId="0" xfId="0" applyFont="1" applyAlignment="1">
      <alignment horizontal="left"/>
    </xf>
    <xf numFmtId="0" fontId="18" fillId="0" borderId="0" xfId="0" applyFont="1"/>
    <xf numFmtId="0" fontId="16" fillId="3" borderId="0" xfId="0" applyFont="1" applyFill="1"/>
    <xf numFmtId="0" fontId="11" fillId="3" borderId="0" xfId="0" applyFont="1" applyFill="1"/>
    <xf numFmtId="0" fontId="16" fillId="4" borderId="0" xfId="0" applyFont="1" applyFill="1"/>
    <xf numFmtId="0" fontId="2" fillId="2" borderId="0" xfId="0" applyFont="1" applyFill="1"/>
    <xf numFmtId="0" fontId="16" fillId="4" borderId="0" xfId="0" applyFont="1" applyFill="1" applyAlignment="1">
      <alignment horizontal="right"/>
    </xf>
    <xf numFmtId="0" fontId="16" fillId="4" borderId="1" xfId="0" applyFont="1" applyFill="1" applyBorder="1" applyAlignment="1">
      <alignment horizontal="right"/>
    </xf>
    <xf numFmtId="0" fontId="1" fillId="4" borderId="0" xfId="0" applyFont="1" applyFill="1"/>
    <xf numFmtId="4" fontId="16" fillId="4" borderId="1" xfId="0" applyNumberFormat="1" applyFont="1" applyFill="1" applyBorder="1" applyAlignment="1">
      <alignment horizontal="right"/>
    </xf>
    <xf numFmtId="4" fontId="19" fillId="4" borderId="0" xfId="0" applyNumberFormat="1" applyFont="1" applyFill="1" applyAlignment="1">
      <alignment horizontal="right"/>
    </xf>
    <xf numFmtId="4" fontId="20" fillId="4" borderId="0" xfId="0" applyNumberFormat="1" applyFont="1" applyFill="1" applyAlignment="1">
      <alignment horizontal="right"/>
    </xf>
    <xf numFmtId="4" fontId="2" fillId="0" borderId="0" xfId="0" applyNumberFormat="1" applyFont="1"/>
    <xf numFmtId="0" fontId="21" fillId="3" borderId="0" xfId="0" applyFont="1" applyFill="1"/>
    <xf numFmtId="0" fontId="21" fillId="4" borderId="0" xfId="0" applyFont="1" applyFill="1"/>
    <xf numFmtId="10" fontId="21" fillId="4" borderId="0" xfId="0" applyNumberFormat="1" applyFont="1" applyFill="1" applyAlignment="1">
      <alignment horizontal="right"/>
    </xf>
    <xf numFmtId="10" fontId="21" fillId="4" borderId="1" xfId="0" applyNumberFormat="1" applyFont="1" applyFill="1" applyBorder="1" applyAlignment="1">
      <alignment horizontal="right"/>
    </xf>
    <xf numFmtId="10" fontId="22" fillId="4" borderId="0" xfId="0" applyNumberFormat="1" applyFont="1" applyFill="1" applyAlignment="1">
      <alignment horizontal="right"/>
    </xf>
    <xf numFmtId="4" fontId="23" fillId="0" borderId="0" xfId="0" applyNumberFormat="1" applyFont="1" applyAlignment="1">
      <alignment horizontal="right"/>
    </xf>
    <xf numFmtId="10" fontId="24" fillId="4" borderId="2" xfId="0" applyNumberFormat="1" applyFont="1" applyFill="1" applyBorder="1" applyAlignment="1">
      <alignment horizontal="right"/>
    </xf>
    <xf numFmtId="10" fontId="24" fillId="4" borderId="0" xfId="0" applyNumberFormat="1" applyFont="1" applyFill="1" applyAlignment="1">
      <alignment horizontal="right"/>
    </xf>
    <xf numFmtId="4" fontId="20" fillId="4" borderId="2" xfId="0" applyNumberFormat="1" applyFont="1" applyFill="1" applyBorder="1" applyAlignment="1">
      <alignment horizontal="right"/>
    </xf>
    <xf numFmtId="10" fontId="25" fillId="4" borderId="0" xfId="0" applyNumberFormat="1" applyFont="1" applyFill="1" applyAlignment="1">
      <alignment horizontal="right"/>
    </xf>
    <xf numFmtId="0" fontId="26" fillId="0" borderId="0" xfId="0" applyFont="1" applyAlignment="1">
      <alignment horizontal="right"/>
    </xf>
    <xf numFmtId="165" fontId="16" fillId="4" borderId="0" xfId="0" applyNumberFormat="1" applyFont="1" applyFill="1" applyAlignment="1">
      <alignment horizontal="right"/>
    </xf>
    <xf numFmtId="165" fontId="16" fillId="4" borderId="1" xfId="0" applyNumberFormat="1" applyFont="1" applyFill="1" applyBorder="1" applyAlignment="1">
      <alignment horizontal="right"/>
    </xf>
    <xf numFmtId="165" fontId="19" fillId="4" borderId="0" xfId="0" applyNumberFormat="1" applyFont="1" applyFill="1" applyAlignment="1">
      <alignment horizontal="right"/>
    </xf>
    <xf numFmtId="4" fontId="4" fillId="0" borderId="0" xfId="0" applyNumberFormat="1" applyFont="1" applyAlignment="1">
      <alignment horizontal="right"/>
    </xf>
    <xf numFmtId="165" fontId="2" fillId="0" borderId="0" xfId="0" applyNumberFormat="1" applyFont="1"/>
    <xf numFmtId="165" fontId="16" fillId="8" borderId="0" xfId="0" applyNumberFormat="1" applyFont="1" applyFill="1" applyAlignment="1">
      <alignment horizontal="right"/>
    </xf>
    <xf numFmtId="165" fontId="16" fillId="8" borderId="3" xfId="0" applyNumberFormat="1" applyFont="1" applyFill="1" applyBorder="1" applyAlignment="1">
      <alignment horizontal="right"/>
    </xf>
    <xf numFmtId="165" fontId="2" fillId="4" borderId="0" xfId="0" applyNumberFormat="1" applyFont="1" applyFill="1"/>
    <xf numFmtId="165" fontId="2" fillId="8" borderId="0" xfId="0" applyNumberFormat="1" applyFont="1" applyFill="1"/>
    <xf numFmtId="0" fontId="16" fillId="0" borderId="0" xfId="0" applyFont="1"/>
    <xf numFmtId="10" fontId="16" fillId="0" borderId="0" xfId="0" applyNumberFormat="1" applyFont="1" applyAlignment="1">
      <alignment horizontal="right"/>
    </xf>
    <xf numFmtId="4" fontId="1" fillId="0" borderId="0" xfId="0" applyNumberFormat="1" applyFont="1"/>
    <xf numFmtId="0" fontId="16" fillId="0" borderId="0" xfId="0" applyFont="1" applyAlignment="1">
      <alignment horizontal="right"/>
    </xf>
    <xf numFmtId="4" fontId="16" fillId="0" borderId="0" xfId="0" applyNumberFormat="1" applyFont="1" applyAlignment="1">
      <alignment horizontal="right"/>
    </xf>
    <xf numFmtId="2" fontId="16" fillId="0" borderId="0" xfId="0" applyNumberFormat="1" applyFont="1" applyAlignment="1">
      <alignment horizontal="right"/>
    </xf>
    <xf numFmtId="166" fontId="2" fillId="0" borderId="0" xfId="0" applyNumberFormat="1" applyFont="1"/>
    <xf numFmtId="10" fontId="16" fillId="4" borderId="0" xfId="0" applyNumberFormat="1" applyFont="1" applyFill="1" applyAlignment="1">
      <alignment horizontal="right"/>
    </xf>
    <xf numFmtId="0" fontId="11" fillId="2" borderId="0" xfId="0" applyFont="1" applyFill="1"/>
    <xf numFmtId="4" fontId="12" fillId="0" borderId="0" xfId="0" applyNumberFormat="1" applyFont="1"/>
    <xf numFmtId="165" fontId="29" fillId="0" borderId="0" xfId="0" applyNumberFormat="1" applyFont="1"/>
    <xf numFmtId="10" fontId="30" fillId="0" borderId="0" xfId="0" applyNumberFormat="1" applyFont="1"/>
    <xf numFmtId="4" fontId="29" fillId="0" borderId="0" xfId="0" applyNumberFormat="1" applyFont="1"/>
    <xf numFmtId="165" fontId="12" fillId="0" borderId="0" xfId="0" applyNumberFormat="1" applyFont="1"/>
    <xf numFmtId="10" fontId="31" fillId="0" borderId="0" xfId="0" applyNumberFormat="1" applyFont="1"/>
    <xf numFmtId="9" fontId="31" fillId="0" borderId="0" xfId="0" applyNumberFormat="1" applyFont="1"/>
    <xf numFmtId="10" fontId="32" fillId="0" borderId="0" xfId="0" applyNumberFormat="1" applyFont="1"/>
    <xf numFmtId="9" fontId="32" fillId="0" borderId="0" xfId="0" applyNumberFormat="1" applyFont="1"/>
    <xf numFmtId="10" fontId="30" fillId="0" borderId="2" xfId="0" applyNumberFormat="1" applyFont="1" applyBorder="1"/>
    <xf numFmtId="165" fontId="20" fillId="4" borderId="2" xfId="0" applyNumberFormat="1" applyFont="1" applyFill="1" applyBorder="1" applyAlignment="1">
      <alignment horizontal="right"/>
    </xf>
    <xf numFmtId="165" fontId="20" fillId="4" borderId="0" xfId="0" applyNumberFormat="1" applyFont="1" applyFill="1" applyAlignment="1">
      <alignment horizontal="right"/>
    </xf>
    <xf numFmtId="4" fontId="16" fillId="4" borderId="2" xfId="0" applyNumberFormat="1" applyFont="1" applyFill="1" applyBorder="1" applyAlignment="1">
      <alignment horizontal="right"/>
    </xf>
    <xf numFmtId="165" fontId="16" fillId="8" borderId="1" xfId="0" applyNumberFormat="1" applyFont="1" applyFill="1" applyBorder="1" applyAlignment="1">
      <alignment horizontal="right"/>
    </xf>
    <xf numFmtId="165" fontId="1" fillId="0" borderId="2" xfId="0" applyNumberFormat="1" applyFont="1" applyBorder="1"/>
    <xf numFmtId="165" fontId="1" fillId="0" borderId="0" xfId="0" applyNumberFormat="1" applyFont="1"/>
    <xf numFmtId="0" fontId="33" fillId="4" borderId="0" xfId="0" applyFont="1" applyFill="1" applyAlignment="1">
      <alignment horizontal="right"/>
    </xf>
    <xf numFmtId="0" fontId="34" fillId="3" borderId="0" xfId="0" applyFont="1" applyFill="1" applyAlignment="1">
      <alignment horizontal="left" wrapText="1"/>
    </xf>
    <xf numFmtId="0" fontId="35" fillId="0" borderId="0" xfId="0" applyFont="1" applyAlignment="1">
      <alignment horizontal="left" wrapText="1"/>
    </xf>
    <xf numFmtId="0" fontId="36" fillId="0" borderId="0" xfId="0" applyFont="1" applyAlignment="1">
      <alignment horizontal="left" wrapText="1"/>
    </xf>
    <xf numFmtId="0" fontId="36" fillId="0" borderId="0" xfId="0" applyFont="1" applyAlignment="1">
      <alignment horizontal="right" wrapText="1"/>
    </xf>
    <xf numFmtId="0" fontId="36" fillId="3" borderId="0" xfId="0" applyFont="1" applyFill="1" applyAlignment="1">
      <alignment horizontal="left" wrapText="1"/>
    </xf>
    <xf numFmtId="0" fontId="37" fillId="0" borderId="0" xfId="0" applyFont="1" applyAlignment="1">
      <alignment vertical="top"/>
    </xf>
    <xf numFmtId="0" fontId="38" fillId="3" borderId="0" xfId="0" applyFont="1" applyFill="1"/>
    <xf numFmtId="0" fontId="38" fillId="0" borderId="0" xfId="0" applyFont="1"/>
    <xf numFmtId="3" fontId="39" fillId="0" borderId="0" xfId="0" applyNumberFormat="1" applyFont="1"/>
    <xf numFmtId="167" fontId="38" fillId="0" borderId="0" xfId="0" applyNumberFormat="1" applyFont="1" applyAlignment="1">
      <alignment horizontal="right"/>
    </xf>
    <xf numFmtId="0" fontId="38" fillId="0" borderId="0" xfId="0" applyFont="1" applyAlignment="1">
      <alignment horizontal="right"/>
    </xf>
    <xf numFmtId="168" fontId="38" fillId="0" borderId="0" xfId="0" applyNumberFormat="1" applyFont="1" applyAlignment="1">
      <alignment horizontal="right"/>
    </xf>
    <xf numFmtId="167" fontId="39" fillId="0" borderId="0" xfId="0" applyNumberFormat="1" applyFont="1"/>
    <xf numFmtId="0" fontId="40" fillId="0" borderId="0" xfId="0" applyFont="1" applyAlignment="1">
      <alignment vertical="top"/>
    </xf>
    <xf numFmtId="0" fontId="41" fillId="0" borderId="0" xfId="0" applyFont="1"/>
    <xf numFmtId="0" fontId="41" fillId="4" borderId="5" xfId="0" applyFont="1" applyFill="1" applyBorder="1"/>
    <xf numFmtId="0" fontId="2" fillId="4" borderId="5" xfId="0" applyFont="1" applyFill="1" applyBorder="1"/>
    <xf numFmtId="0" fontId="41" fillId="0" borderId="5" xfId="0" applyFont="1" applyBorder="1"/>
    <xf numFmtId="0" fontId="41" fillId="0" borderId="5" xfId="0" applyFont="1" applyBorder="1" applyAlignment="1">
      <alignment horizontal="center"/>
    </xf>
    <xf numFmtId="0" fontId="2" fillId="0" borderId="5" xfId="0" applyFont="1" applyBorder="1"/>
    <xf numFmtId="0" fontId="42" fillId="0" borderId="0" xfId="0" applyFont="1"/>
    <xf numFmtId="164" fontId="42" fillId="0" borderId="0" xfId="0" applyNumberFormat="1" applyFont="1" applyAlignment="1">
      <alignment horizontal="right"/>
    </xf>
    <xf numFmtId="169" fontId="42" fillId="0" borderId="0" xfId="0" applyNumberFormat="1" applyFont="1" applyAlignment="1">
      <alignment horizontal="right"/>
    </xf>
    <xf numFmtId="167" fontId="42" fillId="0" borderId="0" xfId="0" applyNumberFormat="1" applyFont="1" applyAlignment="1">
      <alignment horizontal="right"/>
    </xf>
    <xf numFmtId="167" fontId="2" fillId="0" borderId="0" xfId="0" applyNumberFormat="1" applyFont="1"/>
    <xf numFmtId="3" fontId="2" fillId="0" borderId="0" xfId="0" applyNumberFormat="1" applyFont="1"/>
    <xf numFmtId="0" fontId="43" fillId="0" borderId="0" xfId="0" applyFont="1"/>
    <xf numFmtId="4" fontId="43" fillId="0" borderId="0" xfId="0" applyNumberFormat="1" applyFont="1" applyAlignment="1">
      <alignment horizontal="right"/>
    </xf>
    <xf numFmtId="3" fontId="43" fillId="0" borderId="0" xfId="0" applyNumberFormat="1" applyFont="1" applyAlignment="1">
      <alignment horizontal="right"/>
    </xf>
    <xf numFmtId="168" fontId="43" fillId="0" borderId="0" xfId="0" applyNumberFormat="1" applyFont="1" applyAlignment="1">
      <alignment horizontal="right"/>
    </xf>
    <xf numFmtId="168" fontId="2" fillId="0" borderId="0" xfId="0" applyNumberFormat="1" applyFont="1"/>
    <xf numFmtId="0" fontId="43" fillId="4" borderId="0" xfId="0" applyFont="1" applyFill="1"/>
    <xf numFmtId="3" fontId="43" fillId="4" borderId="0" xfId="0" applyNumberFormat="1" applyFont="1" applyFill="1" applyAlignment="1">
      <alignment horizontal="right"/>
    </xf>
    <xf numFmtId="168" fontId="43" fillId="4" borderId="0" xfId="0" applyNumberFormat="1" applyFont="1" applyFill="1" applyAlignment="1">
      <alignment horizontal="right"/>
    </xf>
    <xf numFmtId="168" fontId="2" fillId="4" borderId="0" xfId="0" applyNumberFormat="1" applyFont="1" applyFill="1"/>
    <xf numFmtId="0" fontId="44" fillId="3" borderId="0" xfId="0" applyFont="1" applyFill="1"/>
    <xf numFmtId="0" fontId="44" fillId="0" borderId="0" xfId="0" applyFont="1"/>
    <xf numFmtId="0" fontId="39" fillId="0" borderId="0" xfId="0" applyFont="1"/>
    <xf numFmtId="2" fontId="39" fillId="0" borderId="0" xfId="0" applyNumberFormat="1" applyFont="1"/>
    <xf numFmtId="168" fontId="39" fillId="0" borderId="0" xfId="0" applyNumberFormat="1" applyFont="1"/>
    <xf numFmtId="0" fontId="43" fillId="10" borderId="0" xfId="0" applyFont="1" applyFill="1"/>
    <xf numFmtId="0" fontId="43" fillId="10" borderId="0" xfId="0" applyFont="1" applyFill="1" applyAlignment="1">
      <alignment horizontal="right"/>
    </xf>
    <xf numFmtId="168" fontId="43" fillId="10" borderId="0" xfId="0" applyNumberFormat="1" applyFont="1" applyFill="1" applyAlignment="1">
      <alignment horizontal="right"/>
    </xf>
    <xf numFmtId="168" fontId="2" fillId="10" borderId="0" xfId="0" applyNumberFormat="1" applyFont="1" applyFill="1"/>
    <xf numFmtId="170" fontId="2" fillId="0" borderId="0" xfId="0" applyNumberFormat="1" applyFont="1"/>
    <xf numFmtId="170" fontId="2" fillId="4" borderId="0" xfId="0" applyNumberFormat="1" applyFont="1" applyFill="1"/>
    <xf numFmtId="0" fontId="2" fillId="10" borderId="0" xfId="0" applyFont="1" applyFill="1"/>
    <xf numFmtId="4" fontId="43" fillId="10" borderId="0" xfId="0" applyNumberFormat="1" applyFont="1" applyFill="1" applyAlignment="1">
      <alignment horizontal="right"/>
    </xf>
    <xf numFmtId="170" fontId="43" fillId="10" borderId="0" xfId="0" applyNumberFormat="1" applyFont="1" applyFill="1" applyAlignment="1">
      <alignment horizontal="right"/>
    </xf>
    <xf numFmtId="170" fontId="2" fillId="10" borderId="0" xfId="0" applyNumberFormat="1" applyFont="1" applyFill="1"/>
    <xf numFmtId="164" fontId="39" fillId="0" borderId="0" xfId="0" applyNumberFormat="1" applyFont="1"/>
    <xf numFmtId="0" fontId="39" fillId="0" borderId="0" xfId="0" applyFont="1" applyAlignment="1">
      <alignment horizontal="right"/>
    </xf>
    <xf numFmtId="164" fontId="39" fillId="0" borderId="0" xfId="0" applyNumberFormat="1" applyFont="1" applyAlignment="1">
      <alignment horizontal="right"/>
    </xf>
    <xf numFmtId="0" fontId="14" fillId="0" borderId="6" xfId="0" applyFont="1" applyBorder="1"/>
    <xf numFmtId="0" fontId="2" fillId="0" borderId="6" xfId="0" applyFont="1" applyBorder="1"/>
    <xf numFmtId="0" fontId="2" fillId="0" borderId="7" xfId="0" applyFont="1" applyBorder="1"/>
    <xf numFmtId="0" fontId="2" fillId="0" borderId="1" xfId="0" applyFont="1" applyBorder="1"/>
    <xf numFmtId="3" fontId="45" fillId="11" borderId="8" xfId="0" applyNumberFormat="1" applyFont="1" applyFill="1" applyBorder="1" applyAlignment="1">
      <alignment horizontal="right"/>
    </xf>
    <xf numFmtId="171" fontId="45" fillId="11" borderId="9" xfId="0" applyNumberFormat="1" applyFont="1" applyFill="1" applyBorder="1" applyAlignment="1">
      <alignment horizontal="right"/>
    </xf>
    <xf numFmtId="169" fontId="2" fillId="4" borderId="10" xfId="0" applyNumberFormat="1" applyFont="1" applyFill="1" applyBorder="1" applyAlignment="1">
      <alignment horizontal="right"/>
    </xf>
    <xf numFmtId="169" fontId="2" fillId="12" borderId="10" xfId="0" applyNumberFormat="1" applyFont="1" applyFill="1" applyBorder="1" applyAlignment="1">
      <alignment horizontal="right"/>
    </xf>
    <xf numFmtId="169" fontId="2" fillId="13" borderId="10" xfId="0" applyNumberFormat="1" applyFont="1" applyFill="1" applyBorder="1" applyAlignment="1">
      <alignment horizontal="right"/>
    </xf>
    <xf numFmtId="169" fontId="2" fillId="14" borderId="10" xfId="0" applyNumberFormat="1" applyFont="1" applyFill="1" applyBorder="1" applyAlignment="1">
      <alignment horizontal="right"/>
    </xf>
    <xf numFmtId="169" fontId="2" fillId="15" borderId="10" xfId="0" applyNumberFormat="1" applyFont="1" applyFill="1" applyBorder="1" applyAlignment="1">
      <alignment horizontal="right"/>
    </xf>
    <xf numFmtId="0" fontId="46" fillId="0" borderId="0" xfId="0" applyFont="1"/>
    <xf numFmtId="0" fontId="46" fillId="0" borderId="0" xfId="0" applyFont="1" applyAlignment="1">
      <alignment horizontal="right"/>
    </xf>
    <xf numFmtId="0" fontId="47" fillId="0" borderId="11" xfId="0" applyFont="1" applyBorder="1"/>
    <xf numFmtId="0" fontId="48" fillId="0" borderId="11" xfId="0" applyFont="1" applyBorder="1" applyAlignment="1">
      <alignment horizontal="right"/>
    </xf>
    <xf numFmtId="0" fontId="47" fillId="0" borderId="11" xfId="0" applyFont="1" applyBorder="1" applyAlignment="1">
      <alignment horizontal="right"/>
    </xf>
    <xf numFmtId="0" fontId="49" fillId="4" borderId="0" xfId="0" applyFont="1" applyFill="1" applyAlignment="1">
      <alignment horizontal="left"/>
    </xf>
    <xf numFmtId="0" fontId="47" fillId="0" borderId="0" xfId="0" applyFont="1"/>
    <xf numFmtId="0" fontId="48" fillId="0" borderId="0" xfId="0" applyFont="1" applyAlignment="1">
      <alignment horizontal="right"/>
    </xf>
    <xf numFmtId="0" fontId="47" fillId="0" borderId="0" xfId="0" applyFont="1" applyAlignment="1">
      <alignment horizontal="right"/>
    </xf>
    <xf numFmtId="0" fontId="50" fillId="0" borderId="0" xfId="0" applyFont="1"/>
    <xf numFmtId="0" fontId="50" fillId="0" borderId="0" xfId="0" applyFont="1" applyAlignment="1">
      <alignment horizontal="center"/>
    </xf>
    <xf numFmtId="0" fontId="50" fillId="0" borderId="0" xfId="0" applyFont="1" applyAlignment="1">
      <alignment horizontal="right"/>
    </xf>
    <xf numFmtId="2" fontId="50" fillId="0" borderId="0" xfId="0" applyNumberFormat="1" applyFont="1" applyAlignment="1">
      <alignment horizontal="right"/>
    </xf>
    <xf numFmtId="0" fontId="2" fillId="0" borderId="0" xfId="0" applyFont="1" applyAlignment="1">
      <alignment horizontal="right"/>
    </xf>
    <xf numFmtId="4" fontId="50" fillId="0" borderId="0" xfId="0" applyNumberFormat="1" applyFont="1" applyAlignment="1">
      <alignment horizontal="right"/>
    </xf>
    <xf numFmtId="0" fontId="3" fillId="2" borderId="0" xfId="0" applyFont="1" applyFill="1" applyAlignment="1">
      <alignment horizontal="center"/>
    </xf>
    <xf numFmtId="0" fontId="0" fillId="0" borderId="0" xfId="0"/>
    <xf numFmtId="0" fontId="2" fillId="0" borderId="0" xfId="0" applyFont="1" applyAlignment="1">
      <alignment horizontal="center" wrapText="1"/>
    </xf>
    <xf numFmtId="0" fontId="2" fillId="0" borderId="2" xfId="0" applyFont="1" applyBorder="1" applyAlignment="1">
      <alignment wrapText="1"/>
    </xf>
    <xf numFmtId="0" fontId="3" fillId="9" borderId="0" xfId="0" applyFont="1" applyFill="1" applyAlignment="1">
      <alignment horizontal="center"/>
    </xf>
    <xf numFmtId="0" fontId="27" fillId="2" borderId="0" xfId="0" applyFont="1" applyFill="1" applyAlignment="1">
      <alignment horizontal="center"/>
    </xf>
    <xf numFmtId="0" fontId="28" fillId="0" borderId="1" xfId="0" applyFont="1" applyBorder="1"/>
    <xf numFmtId="0" fontId="41" fillId="0" borderId="4" xfId="0" applyFont="1" applyBorder="1" applyAlignment="1">
      <alignment horizontal="center"/>
    </xf>
    <xf numFmtId="0" fontId="28" fillId="0" borderId="4" xfId="0" applyFont="1" applyBorder="1"/>
    <xf numFmtId="0" fontId="41" fillId="4" borderId="4" xfId="0" applyFont="1" applyFill="1" applyBorder="1" applyAlignment="1">
      <alignment horizontal="center"/>
    </xf>
    <xf numFmtId="0" fontId="14" fillId="0" borderId="7" xfId="0" applyFont="1" applyBorder="1" applyAlignment="1">
      <alignment horizontal="center"/>
    </xf>
    <xf numFmtId="0" fontId="28" fillId="0" borderId="7" xfId="0" applyFont="1" applyBorder="1"/>
    <xf numFmtId="0" fontId="14" fillId="0" borderId="1" xfId="0" applyFont="1" applyBorder="1" applyAlignment="1">
      <alignment horizontal="center"/>
    </xf>
  </cellXfs>
  <cellStyles count="1">
    <cellStyle name="Normal" xfId="0" builtinId="0"/>
  </cellStyles>
  <dxfs count="2">
    <dxf>
      <fill>
        <patternFill patternType="solid">
          <fgColor rgb="FFFFFFFF"/>
          <bgColor rgb="FFFFFFFF"/>
        </patternFill>
      </fill>
    </dxf>
    <dxf>
      <fill>
        <patternFill patternType="solid">
          <fgColor rgb="FFD9EAD3"/>
          <bgColor rgb="FFD9EAD3"/>
        </patternFill>
      </fill>
    </dxf>
  </dxfs>
  <tableStyles count="1">
    <tableStyle name="Comps-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ubbleChart>
        <c:varyColors val="1"/>
        <c:ser>
          <c:idx val="0"/>
          <c:order val="0"/>
          <c:tx>
            <c:strRef>
              <c:f>Comps!$J$21</c:f>
              <c:strCache>
                <c:ptCount val="1"/>
                <c:pt idx="0">
                  <c:v>DG</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Comps!$L$21</c:f>
              <c:numCache>
                <c:formatCode>General</c:formatCode>
                <c:ptCount val="1"/>
                <c:pt idx="0">
                  <c:v>2.5</c:v>
                </c:pt>
              </c:numCache>
            </c:numRef>
          </c:xVal>
          <c:yVal>
            <c:numRef>
              <c:f>Comps!$K$21</c:f>
              <c:numCache>
                <c:formatCode>General</c:formatCode>
                <c:ptCount val="1"/>
                <c:pt idx="0">
                  <c:v>20.38</c:v>
                </c:pt>
              </c:numCache>
            </c:numRef>
          </c:yVal>
          <c:bubbleSize>
            <c:numRef>
              <c:f>Comps!$K$21</c:f>
              <c:numCache>
                <c:formatCode>General</c:formatCode>
                <c:ptCount val="1"/>
                <c:pt idx="0">
                  <c:v>20.38</c:v>
                </c:pt>
              </c:numCache>
            </c:numRef>
          </c:bubbleSize>
          <c:bubble3D val="0"/>
          <c:extLst>
            <c:ext xmlns:c16="http://schemas.microsoft.com/office/drawing/2014/chart" uri="{C3380CC4-5D6E-409C-BE32-E72D297353CC}">
              <c16:uniqueId val="{00000000-9A2A-C840-923B-BBA2BC4FC963}"/>
            </c:ext>
          </c:extLst>
        </c:ser>
        <c:ser>
          <c:idx val="1"/>
          <c:order val="1"/>
          <c:tx>
            <c:strRef>
              <c:f>Comps!$J$22</c:f>
              <c:strCache>
                <c:ptCount val="1"/>
                <c:pt idx="0">
                  <c:v>DLTR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Comps!$L$22</c:f>
              <c:numCache>
                <c:formatCode>General</c:formatCode>
                <c:ptCount val="1"/>
                <c:pt idx="0">
                  <c:v>5</c:v>
                </c:pt>
              </c:numCache>
            </c:numRef>
          </c:xVal>
          <c:yVal>
            <c:numRef>
              <c:f>Comps!$K$22</c:f>
              <c:numCache>
                <c:formatCode>General</c:formatCode>
                <c:ptCount val="1"/>
                <c:pt idx="0">
                  <c:v>18.079999999999998</c:v>
                </c:pt>
              </c:numCache>
            </c:numRef>
          </c:yVal>
          <c:bubbleSize>
            <c:numRef>
              <c:f>Comps!$K$22</c:f>
              <c:numCache>
                <c:formatCode>General</c:formatCode>
                <c:ptCount val="1"/>
                <c:pt idx="0">
                  <c:v>18.079999999999998</c:v>
                </c:pt>
              </c:numCache>
            </c:numRef>
          </c:bubbleSize>
          <c:bubble3D val="0"/>
          <c:extLst>
            <c:ext xmlns:c16="http://schemas.microsoft.com/office/drawing/2014/chart" uri="{C3380CC4-5D6E-409C-BE32-E72D297353CC}">
              <c16:uniqueId val="{00000001-9A2A-C840-923B-BBA2BC4FC963}"/>
            </c:ext>
          </c:extLst>
        </c:ser>
        <c:ser>
          <c:idx val="2"/>
          <c:order val="2"/>
          <c:tx>
            <c:strRef>
              <c:f>Comps!$J$23</c:f>
              <c:strCache>
                <c:ptCount val="1"/>
                <c:pt idx="0">
                  <c:v>KR</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Comps!$L$23</c:f>
              <c:numCache>
                <c:formatCode>General</c:formatCode>
                <c:ptCount val="1"/>
                <c:pt idx="0">
                  <c:v>18.5</c:v>
                </c:pt>
              </c:numCache>
            </c:numRef>
          </c:xVal>
          <c:yVal>
            <c:numRef>
              <c:f>Comps!$K$23</c:f>
              <c:numCache>
                <c:formatCode>General</c:formatCode>
                <c:ptCount val="1"/>
                <c:pt idx="0">
                  <c:v>12.48</c:v>
                </c:pt>
              </c:numCache>
            </c:numRef>
          </c:yVal>
          <c:bubbleSize>
            <c:numRef>
              <c:f>Comps!$K$23</c:f>
              <c:numCache>
                <c:formatCode>General</c:formatCode>
                <c:ptCount val="1"/>
                <c:pt idx="0">
                  <c:v>12.48</c:v>
                </c:pt>
              </c:numCache>
            </c:numRef>
          </c:bubbleSize>
          <c:bubble3D val="0"/>
          <c:extLst>
            <c:ext xmlns:c16="http://schemas.microsoft.com/office/drawing/2014/chart" uri="{C3380CC4-5D6E-409C-BE32-E72D297353CC}">
              <c16:uniqueId val="{00000002-9A2A-C840-923B-BBA2BC4FC963}"/>
            </c:ext>
          </c:extLst>
        </c:ser>
        <c:ser>
          <c:idx val="3"/>
          <c:order val="3"/>
          <c:tx>
            <c:strRef>
              <c:f>Comps!$J$24</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Comps!$L$24</c:f>
              <c:numCache>
                <c:formatCode>General</c:formatCode>
                <c:ptCount val="1"/>
              </c:numCache>
            </c:numRef>
          </c:xVal>
          <c:yVal>
            <c:numRef>
              <c:f>Comps!$K$24</c:f>
              <c:numCache>
                <c:formatCode>General</c:formatCode>
                <c:ptCount val="1"/>
              </c:numCache>
            </c:numRef>
          </c:yVal>
          <c:bubbleSize>
            <c:numRef>
              <c:f>Comps!$K$24</c:f>
              <c:numCache>
                <c:formatCode>General</c:formatCode>
                <c:ptCount val="1"/>
              </c:numCache>
            </c:numRef>
          </c:bubbleSize>
          <c:bubble3D val="0"/>
          <c:extLst>
            <c:ext xmlns:c16="http://schemas.microsoft.com/office/drawing/2014/chart" uri="{C3380CC4-5D6E-409C-BE32-E72D297353CC}">
              <c16:uniqueId val="{00000003-9A2A-C840-923B-BBA2BC4FC963}"/>
            </c:ext>
          </c:extLst>
        </c:ser>
        <c:ser>
          <c:idx val="4"/>
          <c:order val="4"/>
          <c:tx>
            <c:strRef>
              <c:f>Comps!$J$25</c:f>
              <c:strCache>
                <c:ptCount val="1"/>
                <c:pt idx="0">
                  <c:v>TGT</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Comps!$L$25</c:f>
              <c:numCache>
                <c:formatCode>General</c:formatCode>
                <c:ptCount val="1"/>
                <c:pt idx="0">
                  <c:v>4.5</c:v>
                </c:pt>
              </c:numCache>
            </c:numRef>
          </c:xVal>
          <c:yVal>
            <c:numRef>
              <c:f>Comps!$K$25</c:f>
              <c:numCache>
                <c:formatCode>General</c:formatCode>
                <c:ptCount val="1"/>
                <c:pt idx="0">
                  <c:v>17.670000000000002</c:v>
                </c:pt>
              </c:numCache>
            </c:numRef>
          </c:yVal>
          <c:bubbleSize>
            <c:numRef>
              <c:f>Comps!$K$25</c:f>
              <c:numCache>
                <c:formatCode>General</c:formatCode>
                <c:ptCount val="1"/>
                <c:pt idx="0">
                  <c:v>17.670000000000002</c:v>
                </c:pt>
              </c:numCache>
            </c:numRef>
          </c:bubbleSize>
          <c:bubble3D val="0"/>
          <c:extLst>
            <c:ext xmlns:c16="http://schemas.microsoft.com/office/drawing/2014/chart" uri="{C3380CC4-5D6E-409C-BE32-E72D297353CC}">
              <c16:uniqueId val="{00000004-9A2A-C840-923B-BBA2BC4FC963}"/>
            </c:ext>
          </c:extLst>
        </c:ser>
        <c:ser>
          <c:idx val="5"/>
          <c:order val="5"/>
          <c:tx>
            <c:strRef>
              <c:f>Comps!$J$26</c:f>
              <c:strCache>
                <c:ptCount val="1"/>
                <c:pt idx="0">
                  <c:v>PSMT</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Comps!$L$26</c:f>
              <c:numCache>
                <c:formatCode>General</c:formatCode>
                <c:ptCount val="1"/>
                <c:pt idx="0">
                  <c:v>13.3</c:v>
                </c:pt>
              </c:numCache>
            </c:numRef>
          </c:xVal>
          <c:yVal>
            <c:numRef>
              <c:f>Comps!$K$26</c:f>
              <c:numCache>
                <c:formatCode>General</c:formatCode>
                <c:ptCount val="1"/>
                <c:pt idx="0">
                  <c:v>17.399999999999999</c:v>
                </c:pt>
              </c:numCache>
            </c:numRef>
          </c:yVal>
          <c:bubbleSize>
            <c:numRef>
              <c:f>Comps!$K$26</c:f>
              <c:numCache>
                <c:formatCode>General</c:formatCode>
                <c:ptCount val="1"/>
                <c:pt idx="0">
                  <c:v>17.399999999999999</c:v>
                </c:pt>
              </c:numCache>
            </c:numRef>
          </c:bubbleSize>
          <c:bubble3D val="0"/>
          <c:extLst>
            <c:ext xmlns:c16="http://schemas.microsoft.com/office/drawing/2014/chart" uri="{C3380CC4-5D6E-409C-BE32-E72D297353CC}">
              <c16:uniqueId val="{00000005-9A2A-C840-923B-BBA2BC4FC963}"/>
            </c:ext>
          </c:extLst>
        </c:ser>
        <c:ser>
          <c:idx val="6"/>
          <c:order val="6"/>
          <c:tx>
            <c:strRef>
              <c:f>Comps!$J$27</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Comps!$L$27</c:f>
              <c:numCache>
                <c:formatCode>General</c:formatCode>
                <c:ptCount val="1"/>
              </c:numCache>
            </c:numRef>
          </c:xVal>
          <c:yVal>
            <c:numRef>
              <c:f>Comps!$K$27</c:f>
              <c:numCache>
                <c:formatCode>General</c:formatCode>
                <c:ptCount val="1"/>
              </c:numCache>
            </c:numRef>
          </c:yVal>
          <c:bubbleSize>
            <c:numRef>
              <c:f>Comps!$K$27</c:f>
              <c:numCache>
                <c:formatCode>General</c:formatCode>
                <c:ptCount val="1"/>
              </c:numCache>
            </c:numRef>
          </c:bubbleSize>
          <c:bubble3D val="0"/>
          <c:extLst>
            <c:ext xmlns:c16="http://schemas.microsoft.com/office/drawing/2014/chart" uri="{C3380CC4-5D6E-409C-BE32-E72D297353CC}">
              <c16:uniqueId val="{00000006-9A2A-C840-923B-BBA2BC4FC963}"/>
            </c:ext>
          </c:extLst>
        </c:ser>
        <c:ser>
          <c:idx val="7"/>
          <c:order val="7"/>
          <c:tx>
            <c:strRef>
              <c:f>Comps!$J$28</c:f>
              <c:strCache>
                <c:ptCount val="1"/>
                <c:pt idx="0">
                  <c:v>TJX</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Comps!$L$28</c:f>
              <c:numCache>
                <c:formatCode>General</c:formatCode>
                <c:ptCount val="1"/>
                <c:pt idx="0">
                  <c:v>9.8000000000000007</c:v>
                </c:pt>
              </c:numCache>
            </c:numRef>
          </c:xVal>
          <c:yVal>
            <c:numRef>
              <c:f>Comps!$K$28</c:f>
              <c:numCache>
                <c:formatCode>General</c:formatCode>
                <c:ptCount val="1"/>
                <c:pt idx="0">
                  <c:v>23.11</c:v>
                </c:pt>
              </c:numCache>
            </c:numRef>
          </c:yVal>
          <c:bubbleSize>
            <c:numRef>
              <c:f>Comps!$K$28</c:f>
              <c:numCache>
                <c:formatCode>General</c:formatCode>
                <c:ptCount val="1"/>
                <c:pt idx="0">
                  <c:v>23.11</c:v>
                </c:pt>
              </c:numCache>
            </c:numRef>
          </c:bubbleSize>
          <c:bubble3D val="0"/>
          <c:extLst>
            <c:ext xmlns:c16="http://schemas.microsoft.com/office/drawing/2014/chart" uri="{C3380CC4-5D6E-409C-BE32-E72D297353CC}">
              <c16:uniqueId val="{00000007-9A2A-C840-923B-BBA2BC4FC963}"/>
            </c:ext>
          </c:extLst>
        </c:ser>
        <c:ser>
          <c:idx val="8"/>
          <c:order val="8"/>
          <c:tx>
            <c:strRef>
              <c:f>Comps!$J$29</c:f>
              <c:strCache>
                <c:ptCount val="1"/>
                <c:pt idx="0">
                  <c:v>FIVE</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Comps!$L$29</c:f>
              <c:numCache>
                <c:formatCode>General</c:formatCode>
                <c:ptCount val="1"/>
                <c:pt idx="0">
                  <c:v>14.5</c:v>
                </c:pt>
              </c:numCache>
            </c:numRef>
          </c:xVal>
          <c:yVal>
            <c:numRef>
              <c:f>Comps!$K$29</c:f>
              <c:numCache>
                <c:formatCode>General</c:formatCode>
                <c:ptCount val="1"/>
                <c:pt idx="0">
                  <c:v>26.03</c:v>
                </c:pt>
              </c:numCache>
            </c:numRef>
          </c:yVal>
          <c:bubbleSize>
            <c:numRef>
              <c:f>Comps!$K$29</c:f>
              <c:numCache>
                <c:formatCode>General</c:formatCode>
                <c:ptCount val="1"/>
                <c:pt idx="0">
                  <c:v>26.03</c:v>
                </c:pt>
              </c:numCache>
            </c:numRef>
          </c:bubbleSize>
          <c:bubble3D val="0"/>
          <c:extLst>
            <c:ext xmlns:c16="http://schemas.microsoft.com/office/drawing/2014/chart" uri="{C3380CC4-5D6E-409C-BE32-E72D297353CC}">
              <c16:uniqueId val="{00000008-9A2A-C840-923B-BBA2BC4FC963}"/>
            </c:ext>
          </c:extLst>
        </c:ser>
        <c:ser>
          <c:idx val="9"/>
          <c:order val="9"/>
          <c:tx>
            <c:strRef>
              <c:f>Comps!$J$30</c:f>
              <c:strCache>
                <c:ptCount val="1"/>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Comps!$L$30</c:f>
              <c:numCache>
                <c:formatCode>General</c:formatCode>
                <c:ptCount val="1"/>
              </c:numCache>
            </c:numRef>
          </c:xVal>
          <c:yVal>
            <c:numRef>
              <c:f>Comps!$K$30</c:f>
              <c:numCache>
                <c:formatCode>General</c:formatCode>
                <c:ptCount val="1"/>
              </c:numCache>
            </c:numRef>
          </c:yVal>
          <c:bubbleSize>
            <c:numRef>
              <c:f>Comps!$K$30</c:f>
              <c:numCache>
                <c:formatCode>General</c:formatCode>
                <c:ptCount val="1"/>
              </c:numCache>
            </c:numRef>
          </c:bubbleSize>
          <c:bubble3D val="0"/>
          <c:extLst>
            <c:ext xmlns:c16="http://schemas.microsoft.com/office/drawing/2014/chart" uri="{C3380CC4-5D6E-409C-BE32-E72D297353CC}">
              <c16:uniqueId val="{00000009-9A2A-C840-923B-BBA2BC4FC963}"/>
            </c:ext>
          </c:extLst>
        </c:ser>
        <c:dLbls>
          <c:showLegendKey val="0"/>
          <c:showVal val="0"/>
          <c:showCatName val="0"/>
          <c:showSerName val="0"/>
          <c:showPercent val="0"/>
          <c:showBubbleSize val="0"/>
        </c:dLbls>
        <c:bubbleScale val="100"/>
        <c:showNegBubbles val="1"/>
        <c:axId val="1100898071"/>
        <c:axId val="1079978949"/>
      </c:bubbleChart>
      <c:valAx>
        <c:axId val="1100898071"/>
        <c:scaling>
          <c:orientation val="minMax"/>
          <c:max val="2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sz="1200" b="1">
                    <a:solidFill>
                      <a:srgbClr val="000000"/>
                    </a:solidFill>
                    <a:latin typeface="Roboto"/>
                  </a:defRPr>
                </a:pPr>
                <a:r>
                  <a:rPr lang="en-US" sz="1200" b="1">
                    <a:solidFill>
                      <a:srgbClr val="000000"/>
                    </a:solidFill>
                    <a:latin typeface="Roboto"/>
                  </a:rPr>
                  <a:t>5-yr Growth 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79978949"/>
        <c:crosses val="autoZero"/>
        <c:crossBetween val="midCat"/>
        <c:majorUnit val="5"/>
      </c:valAx>
      <c:valAx>
        <c:axId val="1079978949"/>
        <c:scaling>
          <c:orientation val="minMax"/>
          <c:max val="30"/>
        </c:scaling>
        <c:delete val="0"/>
        <c:axPos val="l"/>
        <c:majorGridlines>
          <c:spPr>
            <a:ln>
              <a:solidFill>
                <a:srgbClr val="B7B7B7"/>
              </a:solidFill>
            </a:ln>
          </c:spPr>
        </c:majorGridlines>
        <c:title>
          <c:tx>
            <c:rich>
              <a:bodyPr/>
              <a:lstStyle/>
              <a:p>
                <a:pPr lvl="0">
                  <a:defRPr sz="1200" b="1">
                    <a:solidFill>
                      <a:srgbClr val="000000"/>
                    </a:solidFill>
                    <a:latin typeface="Roboto"/>
                  </a:defRPr>
                </a:pPr>
                <a:r>
                  <a:rPr lang="en-US" sz="1200" b="1">
                    <a:solidFill>
                      <a:srgbClr val="000000"/>
                    </a:solidFill>
                    <a:latin typeface="Roboto"/>
                  </a:rPr>
                  <a:t>P/E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00898071"/>
        <c:crosses val="autoZero"/>
        <c:crossBetween val="midCat"/>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strRef>
              <c:f>'Football Field'!$C$7</c:f>
              <c:strCache>
                <c:ptCount val="1"/>
                <c:pt idx="0">
                  <c:v>Low</c:v>
                </c:pt>
              </c:strCache>
            </c:strRef>
          </c:tx>
          <c:spPr>
            <a:noFill/>
            <a:ln cmpd="sng">
              <a:solidFill>
                <a:srgbClr val="000000"/>
              </a:solidFill>
              <a:prstDash val="lgDashDot"/>
            </a:ln>
          </c:spPr>
          <c:invertIfNegative val="1"/>
          <c:dPt>
            <c:idx val="0"/>
            <c:invertIfNegative val="1"/>
            <c:bubble3D val="0"/>
            <c:extLst>
              <c:ext xmlns:c16="http://schemas.microsoft.com/office/drawing/2014/chart" uri="{C3380CC4-5D6E-409C-BE32-E72D297353CC}">
                <c16:uniqueId val="{00000000-6753-9F48-8A37-F2A4D852A972}"/>
              </c:ext>
            </c:extLst>
          </c:dPt>
          <c:dPt>
            <c:idx val="1"/>
            <c:invertIfNegative val="1"/>
            <c:bubble3D val="0"/>
            <c:extLst>
              <c:ext xmlns:c16="http://schemas.microsoft.com/office/drawing/2014/chart" uri="{C3380CC4-5D6E-409C-BE32-E72D297353CC}">
                <c16:uniqueId val="{00000001-6753-9F48-8A37-F2A4D852A972}"/>
              </c:ext>
            </c:extLst>
          </c:dPt>
          <c:dPt>
            <c:idx val="2"/>
            <c:invertIfNegative val="1"/>
            <c:bubble3D val="0"/>
            <c:extLst>
              <c:ext xmlns:c16="http://schemas.microsoft.com/office/drawing/2014/chart" uri="{C3380CC4-5D6E-409C-BE32-E72D297353CC}">
                <c16:uniqueId val="{00000002-6753-9F48-8A37-F2A4D852A972}"/>
              </c:ext>
            </c:extLst>
          </c:dPt>
          <c:dPt>
            <c:idx val="3"/>
            <c:invertIfNegative val="1"/>
            <c:bubble3D val="0"/>
            <c:extLst>
              <c:ext xmlns:c16="http://schemas.microsoft.com/office/drawing/2014/chart" uri="{C3380CC4-5D6E-409C-BE32-E72D297353CC}">
                <c16:uniqueId val="{00000003-6753-9F48-8A37-F2A4D852A972}"/>
              </c:ext>
            </c:extLst>
          </c:dPt>
          <c:dLbls>
            <c:dLbl>
              <c:idx val="1"/>
              <c:numFmt formatCode="&quot;$&quot;#,##0.00" sourceLinked="0"/>
              <c:spPr/>
              <c:txPr>
                <a:bodyPr/>
                <a:lstStyle/>
                <a:p>
                  <a:pPr lvl="0">
                    <a:defRPr>
                      <a:latin typeface="Roboto"/>
                    </a:defRPr>
                  </a:pPr>
                  <a:endParaRPr lang="en-US"/>
                </a:p>
              </c:txPr>
              <c:showLegendKey val="0"/>
              <c:showVal val="1"/>
              <c:showCatName val="0"/>
              <c:showSerName val="0"/>
              <c:showPercent val="0"/>
              <c:showBubbleSize val="0"/>
              <c:extLst>
                <c:ext xmlns:c16="http://schemas.microsoft.com/office/drawing/2014/chart" uri="{C3380CC4-5D6E-409C-BE32-E72D297353CC}">
                  <c16:uniqueId val="{00000001-6753-9F48-8A37-F2A4D852A972}"/>
                </c:ext>
              </c:extLst>
            </c:dLbl>
            <c:numFmt formatCode="&quot;$&quot;#,##0.00" sourceLinked="0"/>
            <c:spPr>
              <a:noFill/>
              <a:ln>
                <a:noFill/>
              </a:ln>
              <a:effectLst/>
            </c:spPr>
            <c:txPr>
              <a:bodyPr/>
              <a:lstStyle/>
              <a:p>
                <a:pPr lvl="0">
                  <a:defRPr>
                    <a:solidFill>
                      <a:srgbClr val="434343"/>
                    </a:solidFill>
                    <a:latin typeface="Roboto"/>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'Football Field'!$B$8:$B$12</c:f>
              <c:strCache>
                <c:ptCount val="5"/>
                <c:pt idx="0">
                  <c:v>52 Week Range</c:v>
                </c:pt>
                <c:pt idx="1">
                  <c:v>Analyst Recomendations</c:v>
                </c:pt>
                <c:pt idx="2">
                  <c:v>DCF Bear/Bull</c:v>
                </c:pt>
                <c:pt idx="3">
                  <c:v>Comps 1 (yet to do)</c:v>
                </c:pt>
                <c:pt idx="4">
                  <c:v>Comps 2 (yet to do)</c:v>
                </c:pt>
              </c:strCache>
            </c:strRef>
          </c:cat>
          <c:val>
            <c:numRef>
              <c:f>'Football Field'!$C$8:$C$12</c:f>
              <c:numCache>
                <c:formatCode>General</c:formatCode>
                <c:ptCount val="5"/>
                <c:pt idx="0">
                  <c:v>101.09</c:v>
                </c:pt>
                <c:pt idx="1">
                  <c:v>117</c:v>
                </c:pt>
                <c:pt idx="2" formatCode="0.00">
                  <c:v>104.12437408982845</c:v>
                </c:pt>
                <c:pt idx="3">
                  <c:v>175</c:v>
                </c:pt>
                <c:pt idx="4">
                  <c:v>130</c:v>
                </c:pt>
              </c:numCache>
            </c:numRef>
          </c:val>
          <c:extLst>
            <c:ext xmlns:c16="http://schemas.microsoft.com/office/drawing/2014/chart" uri="{C3380CC4-5D6E-409C-BE32-E72D297353CC}">
              <c16:uniqueId val="{00000004-6753-9F48-8A37-F2A4D852A972}"/>
            </c:ext>
          </c:extLst>
        </c:ser>
        <c:ser>
          <c:idx val="1"/>
          <c:order val="1"/>
          <c:tx>
            <c:strRef>
              <c:f>'Football Field'!$D$7</c:f>
              <c:strCache>
                <c:ptCount val="1"/>
                <c:pt idx="0">
                  <c:v>High-Low Increment</c:v>
                </c:pt>
              </c:strCache>
            </c:strRef>
          </c:tx>
          <c:spPr>
            <a:solidFill>
              <a:srgbClr val="23854C"/>
            </a:solidFill>
            <a:ln cmpd="sng">
              <a:solidFill>
                <a:srgbClr val="000000"/>
              </a:solidFill>
              <a:prstDash val="lgDashDot"/>
            </a:ln>
          </c:spPr>
          <c:invertIfNegative val="1"/>
          <c:dPt>
            <c:idx val="2"/>
            <c:invertIfNegative val="1"/>
            <c:bubble3D val="0"/>
            <c:extLst>
              <c:ext xmlns:c16="http://schemas.microsoft.com/office/drawing/2014/chart" uri="{C3380CC4-5D6E-409C-BE32-E72D297353CC}">
                <c16:uniqueId val="{00000005-6753-9F48-8A37-F2A4D852A972}"/>
              </c:ext>
            </c:extLst>
          </c:dPt>
          <c:cat>
            <c:strRef>
              <c:f>'Football Field'!$B$8:$B$12</c:f>
              <c:strCache>
                <c:ptCount val="5"/>
                <c:pt idx="0">
                  <c:v>52 Week Range</c:v>
                </c:pt>
                <c:pt idx="1">
                  <c:v>Analyst Recomendations</c:v>
                </c:pt>
                <c:pt idx="2">
                  <c:v>DCF Bear/Bull</c:v>
                </c:pt>
                <c:pt idx="3">
                  <c:v>Comps 1 (yet to do)</c:v>
                </c:pt>
                <c:pt idx="4">
                  <c:v>Comps 2 (yet to do)</c:v>
                </c:pt>
              </c:strCache>
            </c:strRef>
          </c:cat>
          <c:val>
            <c:numRef>
              <c:f>'Football Field'!$D$8:$D$12</c:f>
              <c:numCache>
                <c:formatCode>General</c:formatCode>
                <c:ptCount val="5"/>
                <c:pt idx="0">
                  <c:v>121.9</c:v>
                </c:pt>
                <c:pt idx="1">
                  <c:v>53</c:v>
                </c:pt>
                <c:pt idx="2" formatCode="0.00">
                  <c:v>313.15538187139009</c:v>
                </c:pt>
                <c:pt idx="3">
                  <c:v>50</c:v>
                </c:pt>
                <c:pt idx="4">
                  <c:v>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lgDashDot"/>
                  </a:ln>
                </c14:spPr>
              </c14:invertSolidFillFmt>
            </c:ext>
            <c:ext xmlns:c16="http://schemas.microsoft.com/office/drawing/2014/chart" uri="{C3380CC4-5D6E-409C-BE32-E72D297353CC}">
              <c16:uniqueId val="{00000006-6753-9F48-8A37-F2A4D852A972}"/>
            </c:ext>
          </c:extLst>
        </c:ser>
        <c:ser>
          <c:idx val="2"/>
          <c:order val="2"/>
          <c:tx>
            <c:strRef>
              <c:f>'Football Field'!$E$7</c:f>
              <c:strCache>
                <c:ptCount val="1"/>
                <c:pt idx="0">
                  <c:v>High for Label</c:v>
                </c:pt>
              </c:strCache>
            </c:strRef>
          </c:tx>
          <c:spPr>
            <a:noFill/>
            <a:ln cmpd="sng">
              <a:solidFill>
                <a:srgbClr val="000000"/>
              </a:solidFill>
              <a:prstDash val="lgDashDot"/>
            </a:ln>
          </c:spPr>
          <c:invertIfNegative val="1"/>
          <c:dPt>
            <c:idx val="0"/>
            <c:invertIfNegative val="1"/>
            <c:bubble3D val="0"/>
            <c:extLst>
              <c:ext xmlns:c16="http://schemas.microsoft.com/office/drawing/2014/chart" uri="{C3380CC4-5D6E-409C-BE32-E72D297353CC}">
                <c16:uniqueId val="{00000007-6753-9F48-8A37-F2A4D852A972}"/>
              </c:ext>
            </c:extLst>
          </c:dPt>
          <c:dPt>
            <c:idx val="1"/>
            <c:invertIfNegative val="1"/>
            <c:bubble3D val="0"/>
            <c:extLst>
              <c:ext xmlns:c16="http://schemas.microsoft.com/office/drawing/2014/chart" uri="{C3380CC4-5D6E-409C-BE32-E72D297353CC}">
                <c16:uniqueId val="{00000008-6753-9F48-8A37-F2A4D852A972}"/>
              </c:ext>
            </c:extLst>
          </c:dPt>
          <c:dPt>
            <c:idx val="2"/>
            <c:invertIfNegative val="1"/>
            <c:bubble3D val="0"/>
            <c:extLst>
              <c:ext xmlns:c16="http://schemas.microsoft.com/office/drawing/2014/chart" uri="{C3380CC4-5D6E-409C-BE32-E72D297353CC}">
                <c16:uniqueId val="{00000009-6753-9F48-8A37-F2A4D852A972}"/>
              </c:ext>
            </c:extLst>
          </c:dPt>
          <c:dPt>
            <c:idx val="3"/>
            <c:invertIfNegative val="1"/>
            <c:bubble3D val="0"/>
            <c:extLst>
              <c:ext xmlns:c16="http://schemas.microsoft.com/office/drawing/2014/chart" uri="{C3380CC4-5D6E-409C-BE32-E72D297353CC}">
                <c16:uniqueId val="{0000000A-6753-9F48-8A37-F2A4D852A972}"/>
              </c:ext>
            </c:extLst>
          </c:dPt>
          <c:dLbls>
            <c:numFmt formatCode="&quot;$&quot;#,##0.00" sourceLinked="0"/>
            <c:spPr>
              <a:noFill/>
              <a:ln>
                <a:noFill/>
              </a:ln>
              <a:effectLst/>
            </c:spPr>
            <c:txPr>
              <a:bodyPr/>
              <a:lstStyle/>
              <a:p>
                <a:pPr lvl="0">
                  <a:defRPr>
                    <a:solidFill>
                      <a:srgbClr val="434343"/>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'Football Field'!$B$8:$B$12</c:f>
              <c:strCache>
                <c:ptCount val="5"/>
                <c:pt idx="0">
                  <c:v>52 Week Range</c:v>
                </c:pt>
                <c:pt idx="1">
                  <c:v>Analyst Recomendations</c:v>
                </c:pt>
                <c:pt idx="2">
                  <c:v>DCF Bear/Bull</c:v>
                </c:pt>
                <c:pt idx="3">
                  <c:v>Comps 1 (yet to do)</c:v>
                </c:pt>
                <c:pt idx="4">
                  <c:v>Comps 2 (yet to do)</c:v>
                </c:pt>
              </c:strCache>
            </c:strRef>
          </c:cat>
          <c:val>
            <c:numRef>
              <c:f>'Football Field'!$E$8:$E$12</c:f>
              <c:numCache>
                <c:formatCode>General</c:formatCode>
                <c:ptCount val="5"/>
                <c:pt idx="0">
                  <c:v>222.99</c:v>
                </c:pt>
                <c:pt idx="1">
                  <c:v>170</c:v>
                </c:pt>
                <c:pt idx="2" formatCode="0.00">
                  <c:v>417.27975596121854</c:v>
                </c:pt>
                <c:pt idx="3">
                  <c:v>225</c:v>
                </c:pt>
                <c:pt idx="4">
                  <c:v>150</c:v>
                </c:pt>
              </c:numCache>
            </c:numRef>
          </c:val>
          <c:extLst>
            <c:ext xmlns:c16="http://schemas.microsoft.com/office/drawing/2014/chart" uri="{C3380CC4-5D6E-409C-BE32-E72D297353CC}">
              <c16:uniqueId val="{0000000B-6753-9F48-8A37-F2A4D852A972}"/>
            </c:ext>
          </c:extLst>
        </c:ser>
        <c:ser>
          <c:idx val="3"/>
          <c:order val="3"/>
          <c:tx>
            <c:strRef>
              <c:f>'Football Field'!$I$12</c:f>
              <c:strCache>
                <c:ptCount val="1"/>
              </c:strCache>
            </c:strRef>
          </c:tx>
          <c:invertIfNegative val="1"/>
          <c:cat>
            <c:strRef>
              <c:f>'Football Field'!$B$8:$B$12</c:f>
              <c:strCache>
                <c:ptCount val="5"/>
                <c:pt idx="0">
                  <c:v>52 Week Range</c:v>
                </c:pt>
                <c:pt idx="1">
                  <c:v>Analyst Recomendations</c:v>
                </c:pt>
                <c:pt idx="2">
                  <c:v>DCF Bear/Bull</c:v>
                </c:pt>
                <c:pt idx="3">
                  <c:v>Comps 1 (yet to do)</c:v>
                </c:pt>
                <c:pt idx="4">
                  <c:v>Comps 2 (yet to do)</c:v>
                </c:pt>
              </c:strCache>
            </c:strRef>
          </c:cat>
          <c:val>
            <c:numRef>
              <c:f>'Football Field'!$I$13</c:f>
              <c:numCache>
                <c:formatCode>General</c:formatCode>
                <c:ptCount val="1"/>
              </c:numCache>
            </c:numRef>
          </c:val>
          <c:extLst>
            <c:ext xmlns:c16="http://schemas.microsoft.com/office/drawing/2014/chart" uri="{C3380CC4-5D6E-409C-BE32-E72D297353CC}">
              <c16:uniqueId val="{0000000C-6753-9F48-8A37-F2A4D852A972}"/>
            </c:ext>
          </c:extLst>
        </c:ser>
        <c:dLbls>
          <c:showLegendKey val="0"/>
          <c:showVal val="0"/>
          <c:showCatName val="0"/>
          <c:showSerName val="0"/>
          <c:showPercent val="0"/>
          <c:showBubbleSize val="0"/>
        </c:dLbls>
        <c:gapWidth val="150"/>
        <c:overlap val="100"/>
        <c:axId val="2121300224"/>
        <c:axId val="1711710486"/>
      </c:barChart>
      <c:catAx>
        <c:axId val="2121300224"/>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11710486"/>
        <c:crosses val="autoZero"/>
        <c:auto val="1"/>
        <c:lblAlgn val="ctr"/>
        <c:lblOffset val="100"/>
        <c:noMultiLvlLbl val="1"/>
      </c:catAx>
      <c:valAx>
        <c:axId val="1711710486"/>
        <c:scaling>
          <c:orientation val="minMax"/>
          <c:max val="300"/>
        </c:scaling>
        <c:delete val="0"/>
        <c:axPos val="b"/>
        <c:majorGridlines>
          <c:spPr>
            <a:ln>
              <a:solidFill>
                <a:srgbClr val="FFFFFF"/>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n-US"/>
          </a:p>
        </c:txPr>
        <c:crossAx val="2121300224"/>
        <c:crosses val="max"/>
        <c:crossBetween val="between"/>
        <c:minorUnit val="10"/>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strRef>
              <c:f>'Football Field'!$K$7</c:f>
              <c:strCache>
                <c:ptCount val="1"/>
                <c:pt idx="0">
                  <c:v>Low</c:v>
                </c:pt>
              </c:strCache>
            </c:strRef>
          </c:tx>
          <c:spPr>
            <a:noFill/>
            <a:ln cmpd="sng">
              <a:solidFill>
                <a:srgbClr val="000000"/>
              </a:solidFill>
              <a:prstDash val="lgDashDot"/>
            </a:ln>
          </c:spPr>
          <c:invertIfNegative val="1"/>
          <c:dPt>
            <c:idx val="0"/>
            <c:invertIfNegative val="1"/>
            <c:bubble3D val="0"/>
            <c:extLst>
              <c:ext xmlns:c16="http://schemas.microsoft.com/office/drawing/2014/chart" uri="{C3380CC4-5D6E-409C-BE32-E72D297353CC}">
                <c16:uniqueId val="{00000000-4069-9943-B727-5374308C4E3A}"/>
              </c:ext>
            </c:extLst>
          </c:dPt>
          <c:dPt>
            <c:idx val="1"/>
            <c:invertIfNegative val="1"/>
            <c:bubble3D val="0"/>
            <c:extLst>
              <c:ext xmlns:c16="http://schemas.microsoft.com/office/drawing/2014/chart" uri="{C3380CC4-5D6E-409C-BE32-E72D297353CC}">
                <c16:uniqueId val="{00000001-4069-9943-B727-5374308C4E3A}"/>
              </c:ext>
            </c:extLst>
          </c:dPt>
          <c:dPt>
            <c:idx val="2"/>
            <c:invertIfNegative val="1"/>
            <c:bubble3D val="0"/>
            <c:extLst>
              <c:ext xmlns:c16="http://schemas.microsoft.com/office/drawing/2014/chart" uri="{C3380CC4-5D6E-409C-BE32-E72D297353CC}">
                <c16:uniqueId val="{00000002-4069-9943-B727-5374308C4E3A}"/>
              </c:ext>
            </c:extLst>
          </c:dPt>
          <c:dPt>
            <c:idx val="3"/>
            <c:invertIfNegative val="1"/>
            <c:bubble3D val="0"/>
            <c:extLst>
              <c:ext xmlns:c16="http://schemas.microsoft.com/office/drawing/2014/chart" uri="{C3380CC4-5D6E-409C-BE32-E72D297353CC}">
                <c16:uniqueId val="{00000003-4069-9943-B727-5374308C4E3A}"/>
              </c:ext>
            </c:extLst>
          </c:dPt>
          <c:dLbls>
            <c:dLbl>
              <c:idx val="1"/>
              <c:numFmt formatCode="&quot;$&quot;#,##0.00" sourceLinked="0"/>
              <c:spPr/>
              <c:txPr>
                <a:bodyPr/>
                <a:lstStyle/>
                <a:p>
                  <a:pPr lvl="0">
                    <a:defRPr>
                      <a:latin typeface="Roboto"/>
                    </a:defRPr>
                  </a:pPr>
                  <a:endParaRPr lang="en-US"/>
                </a:p>
              </c:txPr>
              <c:showLegendKey val="0"/>
              <c:showVal val="1"/>
              <c:showCatName val="0"/>
              <c:showSerName val="0"/>
              <c:showPercent val="0"/>
              <c:showBubbleSize val="0"/>
              <c:extLst>
                <c:ext xmlns:c16="http://schemas.microsoft.com/office/drawing/2014/chart" uri="{C3380CC4-5D6E-409C-BE32-E72D297353CC}">
                  <c16:uniqueId val="{00000001-4069-9943-B727-5374308C4E3A}"/>
                </c:ext>
              </c:extLst>
            </c:dLbl>
            <c:numFmt formatCode="&quot;$&quot;#,##0.00" sourceLinked="0"/>
            <c:spPr>
              <a:noFill/>
              <a:ln>
                <a:noFill/>
              </a:ln>
              <a:effectLst/>
            </c:spPr>
            <c:txPr>
              <a:bodyPr/>
              <a:lstStyle/>
              <a:p>
                <a:pPr lvl="0">
                  <a:defRPr>
                    <a:solidFill>
                      <a:srgbClr val="434343"/>
                    </a:solidFill>
                    <a:latin typeface="Roboto"/>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'Football Field'!$J$8:$J$16</c:f>
              <c:strCache>
                <c:ptCount val="9"/>
                <c:pt idx="0">
                  <c:v>Comparable Companies 2024(E) EV/Revenue</c:v>
                </c:pt>
                <c:pt idx="1">
                  <c:v>Comparable Companies 2025(E) EV/Revenue</c:v>
                </c:pt>
                <c:pt idx="2">
                  <c:v>Comparable Companies 2024(E) EV/EBITDA</c:v>
                </c:pt>
                <c:pt idx="3">
                  <c:v>Comparable Companies 2025(E) EV/EBITDA</c:v>
                </c:pt>
                <c:pt idx="4">
                  <c:v>DCF</c:v>
                </c:pt>
                <c:pt idx="5">
                  <c:v>Research Price Target</c:v>
                </c:pt>
                <c:pt idx="6">
                  <c:v>52 Week Range</c:v>
                </c:pt>
                <c:pt idx="8">
                  <c:v>Current Price</c:v>
                </c:pt>
              </c:strCache>
            </c:strRef>
          </c:cat>
          <c:val>
            <c:numRef>
              <c:f>'Football Field'!$K$8:$K$16</c:f>
              <c:numCache>
                <c:formatCode>General</c:formatCode>
                <c:ptCount val="9"/>
                <c:pt idx="4" formatCode="0.00">
                  <c:v>104.12437408982845</c:v>
                </c:pt>
                <c:pt idx="5">
                  <c:v>4.5</c:v>
                </c:pt>
                <c:pt idx="6" formatCode="#,##0.00">
                  <c:v>4.8</c:v>
                </c:pt>
                <c:pt idx="8" formatCode="#,##0.00">
                  <c:v>6.8</c:v>
                </c:pt>
              </c:numCache>
            </c:numRef>
          </c:val>
          <c:extLst>
            <c:ext xmlns:c16="http://schemas.microsoft.com/office/drawing/2014/chart" uri="{C3380CC4-5D6E-409C-BE32-E72D297353CC}">
              <c16:uniqueId val="{00000004-4069-9943-B727-5374308C4E3A}"/>
            </c:ext>
          </c:extLst>
        </c:ser>
        <c:ser>
          <c:idx val="1"/>
          <c:order val="1"/>
          <c:tx>
            <c:strRef>
              <c:f>'Football Field'!$L$7</c:f>
              <c:strCache>
                <c:ptCount val="1"/>
                <c:pt idx="0">
                  <c:v>High-Low Increment</c:v>
                </c:pt>
              </c:strCache>
            </c:strRef>
          </c:tx>
          <c:spPr>
            <a:solidFill>
              <a:srgbClr val="00008C"/>
            </a:solidFill>
            <a:ln cmpd="sng">
              <a:solidFill>
                <a:srgbClr val="000000"/>
              </a:solidFill>
              <a:prstDash val="lgDashDot"/>
            </a:ln>
          </c:spPr>
          <c:invertIfNegative val="1"/>
          <c:dPt>
            <c:idx val="0"/>
            <c:invertIfNegative val="1"/>
            <c:bubble3D val="0"/>
            <c:spPr>
              <a:solidFill>
                <a:srgbClr val="39DEFF"/>
              </a:solidFill>
              <a:ln cmpd="sng">
                <a:solidFill>
                  <a:srgbClr val="000000"/>
                </a:solidFill>
              </a:ln>
            </c:spPr>
            <c:extLst>
              <c:ext xmlns:c16="http://schemas.microsoft.com/office/drawing/2014/chart" uri="{C3380CC4-5D6E-409C-BE32-E72D297353CC}">
                <c16:uniqueId val="{00000006-4069-9943-B727-5374308C4E3A}"/>
              </c:ext>
            </c:extLst>
          </c:dPt>
          <c:dPt>
            <c:idx val="1"/>
            <c:invertIfNegative val="1"/>
            <c:bubble3D val="0"/>
            <c:spPr>
              <a:solidFill>
                <a:srgbClr val="39DEFF"/>
              </a:solidFill>
              <a:ln cmpd="sng">
                <a:solidFill>
                  <a:srgbClr val="000000"/>
                </a:solidFill>
              </a:ln>
            </c:spPr>
            <c:extLst>
              <c:ext xmlns:c16="http://schemas.microsoft.com/office/drawing/2014/chart" uri="{C3380CC4-5D6E-409C-BE32-E72D297353CC}">
                <c16:uniqueId val="{00000008-4069-9943-B727-5374308C4E3A}"/>
              </c:ext>
            </c:extLst>
          </c:dPt>
          <c:dPt>
            <c:idx val="2"/>
            <c:invertIfNegative val="1"/>
            <c:bubble3D val="0"/>
            <c:extLst>
              <c:ext xmlns:c16="http://schemas.microsoft.com/office/drawing/2014/chart" uri="{C3380CC4-5D6E-409C-BE32-E72D297353CC}">
                <c16:uniqueId val="{00000009-4069-9943-B727-5374308C4E3A}"/>
              </c:ext>
            </c:extLst>
          </c:dPt>
          <c:dPt>
            <c:idx val="4"/>
            <c:invertIfNegative val="1"/>
            <c:bubble3D val="0"/>
            <c:spPr>
              <a:solidFill>
                <a:srgbClr val="999999"/>
              </a:solidFill>
              <a:ln cmpd="sng">
                <a:solidFill>
                  <a:srgbClr val="000000"/>
                </a:solidFill>
              </a:ln>
            </c:spPr>
            <c:extLst>
              <c:ext xmlns:c16="http://schemas.microsoft.com/office/drawing/2014/chart" uri="{C3380CC4-5D6E-409C-BE32-E72D297353CC}">
                <c16:uniqueId val="{0000000B-4069-9943-B727-5374308C4E3A}"/>
              </c:ext>
            </c:extLst>
          </c:dPt>
          <c:dPt>
            <c:idx val="5"/>
            <c:invertIfNegative val="1"/>
            <c:bubble3D val="0"/>
            <c:spPr>
              <a:solidFill>
                <a:srgbClr val="9FC5E8"/>
              </a:solidFill>
              <a:ln cmpd="sng">
                <a:solidFill>
                  <a:srgbClr val="000000"/>
                </a:solidFill>
              </a:ln>
            </c:spPr>
            <c:extLst>
              <c:ext xmlns:c16="http://schemas.microsoft.com/office/drawing/2014/chart" uri="{C3380CC4-5D6E-409C-BE32-E72D297353CC}">
                <c16:uniqueId val="{0000000D-4069-9943-B727-5374308C4E3A}"/>
              </c:ext>
            </c:extLst>
          </c:dPt>
          <c:dPt>
            <c:idx val="6"/>
            <c:invertIfNegative val="1"/>
            <c:bubble3D val="0"/>
            <c:spPr>
              <a:solidFill>
                <a:srgbClr val="0000FF"/>
              </a:solidFill>
              <a:ln cmpd="sng">
                <a:solidFill>
                  <a:srgbClr val="000000"/>
                </a:solidFill>
              </a:ln>
            </c:spPr>
            <c:extLst>
              <c:ext xmlns:c16="http://schemas.microsoft.com/office/drawing/2014/chart" uri="{C3380CC4-5D6E-409C-BE32-E72D297353CC}">
                <c16:uniqueId val="{0000000F-4069-9943-B727-5374308C4E3A}"/>
              </c:ext>
            </c:extLst>
          </c:dPt>
          <c:cat>
            <c:strRef>
              <c:f>'Football Field'!$J$8:$J$16</c:f>
              <c:strCache>
                <c:ptCount val="9"/>
                <c:pt idx="0">
                  <c:v>Comparable Companies 2024(E) EV/Revenue</c:v>
                </c:pt>
                <c:pt idx="1">
                  <c:v>Comparable Companies 2025(E) EV/Revenue</c:v>
                </c:pt>
                <c:pt idx="2">
                  <c:v>Comparable Companies 2024(E) EV/EBITDA</c:v>
                </c:pt>
                <c:pt idx="3">
                  <c:v>Comparable Companies 2025(E) EV/EBITDA</c:v>
                </c:pt>
                <c:pt idx="4">
                  <c:v>DCF</c:v>
                </c:pt>
                <c:pt idx="5">
                  <c:v>Research Price Target</c:v>
                </c:pt>
                <c:pt idx="6">
                  <c:v>52 Week Range</c:v>
                </c:pt>
                <c:pt idx="8">
                  <c:v>Current Price</c:v>
                </c:pt>
              </c:strCache>
            </c:strRef>
          </c:cat>
          <c:val>
            <c:numRef>
              <c:f>'Football Field'!$L$8:$L$16</c:f>
              <c:numCache>
                <c:formatCode>General</c:formatCode>
                <c:ptCount val="9"/>
                <c:pt idx="0">
                  <c:v>0</c:v>
                </c:pt>
                <c:pt idx="1">
                  <c:v>0</c:v>
                </c:pt>
                <c:pt idx="2">
                  <c:v>0</c:v>
                </c:pt>
                <c:pt idx="3">
                  <c:v>0</c:v>
                </c:pt>
                <c:pt idx="4" formatCode="0.00">
                  <c:v>313.15538187139009</c:v>
                </c:pt>
                <c:pt idx="5">
                  <c:v>5.5</c:v>
                </c:pt>
                <c:pt idx="6" formatCode="#,##0.00">
                  <c:v>5.2700000000000005</c:v>
                </c:pt>
                <c:pt idx="8" formatCode="#,##0.00">
                  <c:v>4.9999999999999822E-2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lgDashDot"/>
                  </a:ln>
                </c14:spPr>
              </c14:invertSolidFillFmt>
            </c:ext>
            <c:ext xmlns:c16="http://schemas.microsoft.com/office/drawing/2014/chart" uri="{C3380CC4-5D6E-409C-BE32-E72D297353CC}">
              <c16:uniqueId val="{00000010-4069-9943-B727-5374308C4E3A}"/>
            </c:ext>
          </c:extLst>
        </c:ser>
        <c:ser>
          <c:idx val="2"/>
          <c:order val="2"/>
          <c:tx>
            <c:strRef>
              <c:f>'Football Field'!$M$7</c:f>
              <c:strCache>
                <c:ptCount val="1"/>
                <c:pt idx="0">
                  <c:v>High for Label</c:v>
                </c:pt>
              </c:strCache>
            </c:strRef>
          </c:tx>
          <c:spPr>
            <a:noFill/>
            <a:ln cmpd="sng">
              <a:solidFill>
                <a:srgbClr val="000000"/>
              </a:solidFill>
              <a:prstDash val="lgDashDot"/>
            </a:ln>
          </c:spPr>
          <c:invertIfNegative val="1"/>
          <c:dPt>
            <c:idx val="0"/>
            <c:invertIfNegative val="1"/>
            <c:bubble3D val="0"/>
            <c:extLst>
              <c:ext xmlns:c16="http://schemas.microsoft.com/office/drawing/2014/chart" uri="{C3380CC4-5D6E-409C-BE32-E72D297353CC}">
                <c16:uniqueId val="{00000011-4069-9943-B727-5374308C4E3A}"/>
              </c:ext>
            </c:extLst>
          </c:dPt>
          <c:dPt>
            <c:idx val="1"/>
            <c:invertIfNegative val="1"/>
            <c:bubble3D val="0"/>
            <c:extLst>
              <c:ext xmlns:c16="http://schemas.microsoft.com/office/drawing/2014/chart" uri="{C3380CC4-5D6E-409C-BE32-E72D297353CC}">
                <c16:uniqueId val="{00000012-4069-9943-B727-5374308C4E3A}"/>
              </c:ext>
            </c:extLst>
          </c:dPt>
          <c:dPt>
            <c:idx val="2"/>
            <c:invertIfNegative val="1"/>
            <c:bubble3D val="0"/>
            <c:extLst>
              <c:ext xmlns:c16="http://schemas.microsoft.com/office/drawing/2014/chart" uri="{C3380CC4-5D6E-409C-BE32-E72D297353CC}">
                <c16:uniqueId val="{00000013-4069-9943-B727-5374308C4E3A}"/>
              </c:ext>
            </c:extLst>
          </c:dPt>
          <c:dPt>
            <c:idx val="3"/>
            <c:invertIfNegative val="1"/>
            <c:bubble3D val="0"/>
            <c:extLst>
              <c:ext xmlns:c16="http://schemas.microsoft.com/office/drawing/2014/chart" uri="{C3380CC4-5D6E-409C-BE32-E72D297353CC}">
                <c16:uniqueId val="{00000014-4069-9943-B727-5374308C4E3A}"/>
              </c:ext>
            </c:extLst>
          </c:dPt>
          <c:dLbls>
            <c:numFmt formatCode="&quot;$&quot;#,##0.00" sourceLinked="0"/>
            <c:spPr>
              <a:noFill/>
              <a:ln>
                <a:noFill/>
              </a:ln>
              <a:effectLst/>
            </c:spPr>
            <c:txPr>
              <a:bodyPr/>
              <a:lstStyle/>
              <a:p>
                <a:pPr lvl="0">
                  <a:defRPr>
                    <a:solidFill>
                      <a:srgbClr val="434343"/>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'Football Field'!$J$8:$J$16</c:f>
              <c:strCache>
                <c:ptCount val="9"/>
                <c:pt idx="0">
                  <c:v>Comparable Companies 2024(E) EV/Revenue</c:v>
                </c:pt>
                <c:pt idx="1">
                  <c:v>Comparable Companies 2025(E) EV/Revenue</c:v>
                </c:pt>
                <c:pt idx="2">
                  <c:v>Comparable Companies 2024(E) EV/EBITDA</c:v>
                </c:pt>
                <c:pt idx="3">
                  <c:v>Comparable Companies 2025(E) EV/EBITDA</c:v>
                </c:pt>
                <c:pt idx="4">
                  <c:v>DCF</c:v>
                </c:pt>
                <c:pt idx="5">
                  <c:v>Research Price Target</c:v>
                </c:pt>
                <c:pt idx="6">
                  <c:v>52 Week Range</c:v>
                </c:pt>
                <c:pt idx="8">
                  <c:v>Current Price</c:v>
                </c:pt>
              </c:strCache>
            </c:strRef>
          </c:cat>
          <c:val>
            <c:numRef>
              <c:f>'Football Field'!$M$8:$M$16</c:f>
              <c:numCache>
                <c:formatCode>General</c:formatCode>
                <c:ptCount val="9"/>
                <c:pt idx="4" formatCode="0.00">
                  <c:v>417.27975596121854</c:v>
                </c:pt>
                <c:pt idx="5">
                  <c:v>10</c:v>
                </c:pt>
                <c:pt idx="6" formatCode="#,##0.00">
                  <c:v>10.07</c:v>
                </c:pt>
                <c:pt idx="8" formatCode="#,##0.00">
                  <c:v>6.85</c:v>
                </c:pt>
              </c:numCache>
            </c:numRef>
          </c:val>
          <c:extLst>
            <c:ext xmlns:c16="http://schemas.microsoft.com/office/drawing/2014/chart" uri="{C3380CC4-5D6E-409C-BE32-E72D297353CC}">
              <c16:uniqueId val="{00000015-4069-9943-B727-5374308C4E3A}"/>
            </c:ext>
          </c:extLst>
        </c:ser>
        <c:dLbls>
          <c:showLegendKey val="0"/>
          <c:showVal val="0"/>
          <c:showCatName val="0"/>
          <c:showSerName val="0"/>
          <c:showPercent val="0"/>
          <c:showBubbleSize val="0"/>
        </c:dLbls>
        <c:gapWidth val="150"/>
        <c:overlap val="100"/>
        <c:axId val="348716100"/>
        <c:axId val="564418916"/>
      </c:barChart>
      <c:catAx>
        <c:axId val="34871610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64418916"/>
        <c:crosses val="autoZero"/>
        <c:auto val="1"/>
        <c:lblAlgn val="ctr"/>
        <c:lblOffset val="100"/>
        <c:noMultiLvlLbl val="1"/>
      </c:catAx>
      <c:valAx>
        <c:axId val="564418916"/>
        <c:scaling>
          <c:orientation val="minMax"/>
          <c:max val="15"/>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endParaRPr lang="en-US"/>
          </a:p>
        </c:txPr>
        <c:crossAx val="348716100"/>
        <c:crosses val="max"/>
        <c:crossBetween val="between"/>
        <c:minorUnit val="10"/>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2</xdr:col>
      <xdr:colOff>66675</xdr:colOff>
      <xdr:row>14</xdr:row>
      <xdr:rowOff>95250</xdr:rowOff>
    </xdr:from>
    <xdr:ext cx="5229225" cy="3895725"/>
    <xdr:graphicFrame macro="">
      <xdr:nvGraphicFramePr>
        <xdr:cNvPr id="2" name="Chart 1" titl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180975</xdr:colOff>
      <xdr:row>13</xdr:row>
      <xdr:rowOff>57150</xdr:rowOff>
    </xdr:from>
    <xdr:ext cx="6267450" cy="5029200"/>
    <xdr:graphicFrame macro="">
      <xdr:nvGraphicFramePr>
        <xdr:cNvPr id="2" name="Chart 2" titl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495300</xdr:colOff>
      <xdr:row>17</xdr:row>
      <xdr:rowOff>38100</xdr:rowOff>
    </xdr:from>
    <xdr:ext cx="5753100" cy="6086475"/>
    <xdr:graphicFrame macro="">
      <xdr:nvGraphicFramePr>
        <xdr:cNvPr id="3" name="Chart 3" titl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CF%20B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F Bas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K12" headerRowCount="0">
  <tableColumns count="11">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s>
  <tableStyleInfo name="Comp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8"/>
  <sheetViews>
    <sheetView showGridLines="0" tabSelected="1" workbookViewId="0">
      <selection activeCell="C21" sqref="C21"/>
    </sheetView>
  </sheetViews>
  <sheetFormatPr baseColWidth="10" defaultColWidth="12.6640625" defaultRowHeight="15.75" customHeight="1"/>
  <sheetData>
    <row r="1" spans="1:26" ht="15">
      <c r="A1" s="1"/>
      <c r="B1" s="1"/>
      <c r="C1" s="2"/>
      <c r="D1" s="2"/>
      <c r="E1" s="3"/>
      <c r="F1" s="3"/>
      <c r="G1" s="3"/>
      <c r="H1" s="3"/>
      <c r="I1" s="3"/>
      <c r="J1" s="3"/>
      <c r="K1" s="3"/>
      <c r="L1" s="3"/>
      <c r="M1" s="3"/>
      <c r="N1" s="3"/>
      <c r="O1" s="3"/>
      <c r="P1" s="3"/>
      <c r="Q1" s="3"/>
      <c r="R1" s="3"/>
      <c r="S1" s="3"/>
      <c r="T1" s="4"/>
      <c r="U1" s="4"/>
      <c r="V1" s="4"/>
      <c r="W1" s="4"/>
      <c r="X1" s="4"/>
    </row>
    <row r="2" spans="1:26" ht="15">
      <c r="A2" s="1"/>
      <c r="B2" s="1" t="s">
        <v>0</v>
      </c>
      <c r="C2" s="2"/>
      <c r="D2" s="2"/>
      <c r="E2" s="205" t="s">
        <v>1</v>
      </c>
      <c r="F2" s="206"/>
      <c r="G2" s="206"/>
      <c r="H2" s="206"/>
      <c r="I2" s="206"/>
      <c r="J2" s="206"/>
      <c r="K2" s="206"/>
      <c r="L2" s="206"/>
      <c r="M2" s="206"/>
      <c r="N2" s="206"/>
      <c r="O2" s="206"/>
      <c r="P2" s="206"/>
      <c r="Q2" s="206"/>
      <c r="R2" s="206"/>
      <c r="S2" s="206"/>
      <c r="T2" s="4"/>
      <c r="U2" s="4"/>
      <c r="V2" s="4"/>
      <c r="W2" s="4"/>
      <c r="X2" s="4"/>
    </row>
    <row r="3" spans="1:26" ht="15">
      <c r="A3" s="5"/>
      <c r="B3" s="2"/>
      <c r="C3" s="6"/>
      <c r="D3" s="6"/>
      <c r="E3" s="205" t="s">
        <v>2</v>
      </c>
      <c r="F3" s="206"/>
      <c r="G3" s="206"/>
      <c r="H3" s="206"/>
      <c r="I3" s="206"/>
      <c r="J3" s="205" t="s">
        <v>3</v>
      </c>
      <c r="K3" s="206"/>
      <c r="L3" s="206"/>
      <c r="M3" s="206"/>
      <c r="N3" s="206"/>
      <c r="O3" s="206"/>
      <c r="P3" s="206"/>
      <c r="Q3" s="206"/>
      <c r="R3" s="206"/>
      <c r="S3" s="206"/>
    </row>
    <row r="4" spans="1:26" ht="14">
      <c r="A4" s="7"/>
      <c r="B4" s="8" t="s">
        <v>4</v>
      </c>
      <c r="C4" s="2"/>
      <c r="D4" s="2"/>
      <c r="E4" s="9">
        <v>2019</v>
      </c>
      <c r="F4" s="9">
        <v>2020</v>
      </c>
      <c r="G4" s="9">
        <v>2021</v>
      </c>
      <c r="H4" s="9">
        <v>2022</v>
      </c>
      <c r="I4" s="10">
        <v>2023</v>
      </c>
      <c r="J4" s="9">
        <v>2024</v>
      </c>
      <c r="K4" s="9">
        <v>2025</v>
      </c>
      <c r="L4" s="9">
        <v>2026</v>
      </c>
      <c r="M4" s="9">
        <v>2027</v>
      </c>
      <c r="N4" s="9">
        <v>2028</v>
      </c>
      <c r="O4" s="11">
        <v>2029</v>
      </c>
      <c r="P4" s="11">
        <v>2030</v>
      </c>
      <c r="Q4" s="11">
        <v>2031</v>
      </c>
      <c r="R4" s="11">
        <v>2032</v>
      </c>
      <c r="S4" s="11">
        <v>2033</v>
      </c>
    </row>
    <row r="5" spans="1:26" ht="14">
      <c r="A5" s="12"/>
      <c r="B5" s="13" t="s">
        <v>5</v>
      </c>
      <c r="C5" s="14"/>
      <c r="D5" s="14"/>
      <c r="E5" s="15">
        <v>4676.848</v>
      </c>
      <c r="F5" s="15">
        <v>5247.4769999999999</v>
      </c>
      <c r="G5" s="15">
        <v>5614.3249999999998</v>
      </c>
      <c r="H5" s="15">
        <v>6760.7330000000002</v>
      </c>
      <c r="I5" s="16">
        <v>6994.2659999999996</v>
      </c>
      <c r="J5" s="17">
        <f>'DCF (Base Case)'!H4*J6</f>
        <v>7639.4126753999999</v>
      </c>
      <c r="K5" s="17">
        <f>'DCF (Base Case)'!I4*K6</f>
        <v>7648.0581308000001</v>
      </c>
      <c r="L5" s="17">
        <f>'DCF (Base Case)'!J4*L6</f>
        <v>7630.4540112000004</v>
      </c>
      <c r="M5" s="17">
        <f>'DCF (Base Case)'!K4*M6</f>
        <v>8126.5965088000003</v>
      </c>
      <c r="N5" s="17">
        <f>'DCF (Base Case)'!L4*N6</f>
        <v>8589.7878464000005</v>
      </c>
      <c r="O5" s="17">
        <f>'DCF (Base Case)'!M4*O6</f>
        <v>8583.671392799999</v>
      </c>
      <c r="P5" s="17">
        <f>'DCF (Base Case)'!N4*P6</f>
        <v>9020.5985999999994</v>
      </c>
      <c r="Q5" s="17">
        <f>'DCF (Base Case)'!O4*Q6</f>
        <v>9436.2294149999998</v>
      </c>
      <c r="R5" s="17">
        <f>'DCF (Base Case)'!P4*R6</f>
        <v>9249.8815080000022</v>
      </c>
      <c r="S5" s="17">
        <f>'DCF (Base Case)'!Q4*S6</f>
        <v>9596.6103996000002</v>
      </c>
      <c r="T5" s="18"/>
    </row>
    <row r="6" spans="1:26" ht="14">
      <c r="A6" s="19"/>
      <c r="B6" s="20" t="s">
        <v>6</v>
      </c>
      <c r="C6" s="14"/>
      <c r="D6" s="14"/>
      <c r="E6" s="21">
        <f>E5/'DCF (Base Case)'!C4</f>
        <v>0.16851077322187794</v>
      </c>
      <c r="F6" s="21">
        <f>F5/'DCF (Base Case)'!D4</f>
        <v>0.15549554328114071</v>
      </c>
      <c r="G6" s="21">
        <f>G5/'DCF (Base Case)'!E4</f>
        <v>0.1640636871573681</v>
      </c>
      <c r="H6" s="21">
        <f>H5/'DCF (Base Case)'!F4</f>
        <v>0.17864317252787032</v>
      </c>
      <c r="I6" s="22">
        <f>I5/'DCF (Base Case)'!G$4</f>
        <v>0.18076962441460162</v>
      </c>
      <c r="J6" s="23">
        <v>0.18</v>
      </c>
      <c r="K6" s="23">
        <v>0.17</v>
      </c>
      <c r="L6" s="23">
        <v>0.16</v>
      </c>
      <c r="M6" s="23">
        <v>0.16</v>
      </c>
      <c r="N6" s="23">
        <v>0.16</v>
      </c>
      <c r="O6" s="24">
        <v>0.15</v>
      </c>
      <c r="P6" s="24">
        <v>0.15</v>
      </c>
      <c r="Q6" s="24">
        <v>0.15</v>
      </c>
      <c r="R6" s="24">
        <v>0.14000000000000001</v>
      </c>
      <c r="S6" s="24">
        <v>0.14000000000000001</v>
      </c>
      <c r="T6" s="18"/>
    </row>
    <row r="7" spans="1:26" ht="14">
      <c r="A7" s="12"/>
      <c r="B7" s="13" t="s">
        <v>7</v>
      </c>
      <c r="C7" s="14"/>
      <c r="D7" s="14"/>
      <c r="E7" s="15">
        <v>76.537000000000006</v>
      </c>
      <c r="F7" s="15">
        <v>90.76</v>
      </c>
      <c r="G7" s="15">
        <v>97.394000000000005</v>
      </c>
      <c r="H7" s="15">
        <v>135.77500000000001</v>
      </c>
      <c r="I7" s="16">
        <v>112.262</v>
      </c>
      <c r="J7" s="17">
        <f>'DCF (Base Case)'!H4*J8</f>
        <v>125.47598832309036</v>
      </c>
      <c r="K7" s="17">
        <f>'DCF (Base Case)'!I4*K8</f>
        <v>134.79580500972767</v>
      </c>
      <c r="L7" s="17">
        <f>'DCF (Base Case)'!J4*L8</f>
        <v>145.81699534188854</v>
      </c>
      <c r="M7" s="17">
        <f>'DCF (Base Case)'!K4*M8</f>
        <v>157.44667671914362</v>
      </c>
      <c r="N7" s="17">
        <f>'DCF (Base Case)'!L4*N8</f>
        <v>161.18313965844965</v>
      </c>
      <c r="O7" s="17">
        <f>'DCF (Base Case)'!M4*O8</f>
        <v>172.96064307173529</v>
      </c>
      <c r="P7" s="17">
        <f>'DCF (Base Case)'!N4*P8</f>
        <v>182.55883817468157</v>
      </c>
      <c r="Q7" s="17">
        <f>'DCF (Base Case)'!O4*Q8</f>
        <v>191.46705207258645</v>
      </c>
      <c r="R7" s="17">
        <f>'DCF (Base Case)'!P4*R8</f>
        <v>200.90727770327388</v>
      </c>
      <c r="S7" s="17">
        <f>'DCF (Base Case)'!Q4*S8</f>
        <v>207.62824852821757</v>
      </c>
      <c r="T7" s="18"/>
    </row>
    <row r="8" spans="1:26" ht="14">
      <c r="A8" s="19"/>
      <c r="B8" s="20" t="s">
        <v>6</v>
      </c>
      <c r="C8" s="14"/>
      <c r="D8" s="14"/>
      <c r="E8" s="21">
        <f>E7/'DCF (Base Case)'!C$4</f>
        <v>2.7576925848526342E-3</v>
      </c>
      <c r="F8" s="21">
        <f>F7/'DCF (Base Case)'!D$4</f>
        <v>2.6894401839581824E-3</v>
      </c>
      <c r="G8" s="21">
        <f>G7/'DCF (Base Case)'!E$4</f>
        <v>2.8460801159542262E-3</v>
      </c>
      <c r="H8" s="21">
        <f>H7/'DCF (Base Case)'!F$4</f>
        <v>3.5876696727960701E-3</v>
      </c>
      <c r="I8" s="22">
        <f>I7/'DCF (Base Case)'!G$4</f>
        <v>2.9014566469207788E-3</v>
      </c>
      <c r="J8" s="21">
        <f t="shared" ref="J8:S8" si="0">AVERAGE(E8:I8)</f>
        <v>2.9564678408963785E-3</v>
      </c>
      <c r="K8" s="21">
        <f t="shared" si="0"/>
        <v>2.996222892105127E-3</v>
      </c>
      <c r="L8" s="21">
        <f t="shared" si="0"/>
        <v>3.0575794337345166E-3</v>
      </c>
      <c r="M8" s="21">
        <f t="shared" si="0"/>
        <v>3.0998792972905744E-3</v>
      </c>
      <c r="N8" s="21">
        <f t="shared" si="0"/>
        <v>3.0023212221894748E-3</v>
      </c>
      <c r="O8" s="21">
        <f t="shared" si="0"/>
        <v>3.0224941372432139E-3</v>
      </c>
      <c r="P8" s="21">
        <f t="shared" si="0"/>
        <v>3.0356993965125812E-3</v>
      </c>
      <c r="Q8" s="21">
        <f t="shared" si="0"/>
        <v>3.0435946973940723E-3</v>
      </c>
      <c r="R8" s="21">
        <f t="shared" si="0"/>
        <v>3.0407977501259835E-3</v>
      </c>
      <c r="S8" s="21">
        <f t="shared" si="0"/>
        <v>3.0289814406930654E-3</v>
      </c>
    </row>
    <row r="9" spans="1:26" ht="14">
      <c r="A9" s="12"/>
      <c r="B9" s="13" t="s">
        <v>8</v>
      </c>
      <c r="C9" s="14"/>
      <c r="D9" s="14"/>
      <c r="E9" s="15">
        <v>184.16300000000001</v>
      </c>
      <c r="F9" s="15">
        <v>199.405</v>
      </c>
      <c r="G9" s="15">
        <v>247.29499999999999</v>
      </c>
      <c r="H9" s="15">
        <v>302.92500000000001</v>
      </c>
      <c r="I9" s="16">
        <v>366.91300000000001</v>
      </c>
      <c r="J9" s="17">
        <f>'DCF (Base Case)'!H4*J10</f>
        <v>316.25757222085883</v>
      </c>
      <c r="K9" s="17">
        <f>'DCF (Base Case)'!I4*K10</f>
        <v>342.58312858268414</v>
      </c>
      <c r="L9" s="17">
        <f>'DCF (Base Case)'!J4*L10</f>
        <v>379.42901536293067</v>
      </c>
      <c r="M9" s="17">
        <f>'DCF (Base Case)'!K4*M10</f>
        <v>411.51106530523401</v>
      </c>
      <c r="N9" s="17">
        <f>'DCF (Base Case)'!L4*N10</f>
        <v>436.01421784630224</v>
      </c>
      <c r="O9" s="17">
        <f>'DCF (Base Case)'!M4*O10</f>
        <v>449.16869292858934</v>
      </c>
      <c r="P9" s="17">
        <f>'DCF (Base Case)'!N4*P10</f>
        <v>476.81413818140447</v>
      </c>
      <c r="Q9" s="17">
        <f>'DCF (Base Case)'!O4*Q10</f>
        <v>502.73263076827072</v>
      </c>
      <c r="R9" s="17">
        <f>'DCF (Base Case)'!P4*R10</f>
        <v>528.47310480459021</v>
      </c>
      <c r="S9" s="17">
        <f>'DCF (Base Case)'!Q4*S10</f>
        <v>546.86524804719738</v>
      </c>
    </row>
    <row r="10" spans="1:26" ht="14">
      <c r="A10" s="19"/>
      <c r="B10" s="20" t="s">
        <v>6</v>
      </c>
      <c r="C10" s="13"/>
      <c r="D10" s="13"/>
      <c r="E10" s="21">
        <f>E9/'DCF (Base Case)'!C$4</f>
        <v>6.6355480291129211E-3</v>
      </c>
      <c r="F10" s="21">
        <f>F9/'DCF (Base Case)'!D$4</f>
        <v>5.9088565434352288E-3</v>
      </c>
      <c r="G10" s="21">
        <f>G9/'DCF (Base Case)'!E$4</f>
        <v>7.2265373870556739E-3</v>
      </c>
      <c r="H10" s="21">
        <f>H9/'DCF (Base Case)'!F$4</f>
        <v>8.0043810394531366E-3</v>
      </c>
      <c r="I10" s="22">
        <f>I9/'DCF (Base Case)'!G$4</f>
        <v>9.4830144010586287E-3</v>
      </c>
      <c r="J10" s="21">
        <f t="shared" ref="J10:S10" si="1">AVERAGE(E10:I10)</f>
        <v>7.451667480023118E-3</v>
      </c>
      <c r="K10" s="21">
        <f t="shared" si="1"/>
        <v>7.6148913702051568E-3</v>
      </c>
      <c r="L10" s="21">
        <f t="shared" si="1"/>
        <v>7.956098335559143E-3</v>
      </c>
      <c r="M10" s="21">
        <f t="shared" si="1"/>
        <v>8.1020105252598371E-3</v>
      </c>
      <c r="N10" s="21">
        <f t="shared" si="1"/>
        <v>8.1215364224211765E-3</v>
      </c>
      <c r="O10" s="21">
        <f t="shared" si="1"/>
        <v>7.8492408266936844E-3</v>
      </c>
      <c r="P10" s="21">
        <f t="shared" si="1"/>
        <v>7.9287554960277996E-3</v>
      </c>
      <c r="Q10" s="21">
        <f t="shared" si="1"/>
        <v>7.9915283211923274E-3</v>
      </c>
      <c r="R10" s="21">
        <f t="shared" si="1"/>
        <v>7.998614318318966E-3</v>
      </c>
      <c r="S10" s="21">
        <f t="shared" si="1"/>
        <v>7.9779350769307901E-3</v>
      </c>
    </row>
    <row r="11" spans="1:26" ht="14">
      <c r="A11" s="12"/>
      <c r="B11" s="25" t="s">
        <v>9</v>
      </c>
      <c r="C11" s="25"/>
      <c r="D11" s="25"/>
      <c r="E11" s="15">
        <v>964.80499999999995</v>
      </c>
      <c r="F11" s="15">
        <v>1074.079</v>
      </c>
      <c r="G11" s="15">
        <v>1183.559</v>
      </c>
      <c r="H11" s="15">
        <v>1288.9390000000001</v>
      </c>
      <c r="I11" s="16">
        <v>1387.0830000000001</v>
      </c>
      <c r="J11" s="26">
        <f>'DCF (Base Case)'!H4*J12</f>
        <v>2334.2649841500001</v>
      </c>
      <c r="K11" s="26">
        <f>'DCF (Base Case)'!I4*K12</f>
        <v>2474.3717481999997</v>
      </c>
      <c r="L11" s="26">
        <f>'DCF (Base Case)'!J4*L12</f>
        <v>1907.6135028000001</v>
      </c>
      <c r="M11" s="26">
        <f>'DCF (Base Case)'!K4*M12</f>
        <v>1930.0666708399999</v>
      </c>
      <c r="N11" s="26">
        <f>'DCF (Base Case)'!L4*N12</f>
        <v>2040.07461352</v>
      </c>
      <c r="O11" s="26">
        <f>'DCF (Base Case)'!M4*O12</f>
        <v>2060.0811342719999</v>
      </c>
      <c r="P11" s="26">
        <f>'DCF (Base Case)'!N4*P12</f>
        <v>2044.6690160000001</v>
      </c>
      <c r="Q11" s="26">
        <f>'DCF (Base Case)'!O4*Q12</f>
        <v>1950.1540791</v>
      </c>
      <c r="R11" s="26">
        <f>'DCF (Base Case)'!P4*R12</f>
        <v>1585.6939728000002</v>
      </c>
      <c r="S11" s="26">
        <f>'DCF (Base Case)'!Q4*S12</f>
        <v>1439.4915599399999</v>
      </c>
    </row>
    <row r="12" spans="1:26" ht="14">
      <c r="A12" s="19"/>
      <c r="B12" s="27" t="s">
        <v>6</v>
      </c>
      <c r="C12" s="28"/>
      <c r="D12" s="28"/>
      <c r="E12" s="21">
        <f>E11/'DCF (Base Case)'!C$4</f>
        <v>3.4762736902788784E-2</v>
      </c>
      <c r="F12" s="21">
        <f>F11/'DCF (Base Case)'!D$4</f>
        <v>3.1827580689132003E-2</v>
      </c>
      <c r="G12" s="21">
        <f>G11/'DCF (Base Case)'!E$4</f>
        <v>3.4586357845028108E-2</v>
      </c>
      <c r="H12" s="21">
        <f>H11/'DCF (Base Case)'!F$4</f>
        <v>3.4058459660350537E-2</v>
      </c>
      <c r="I12" s="22">
        <f>I11/'DCF (Base Case)'!G$4</f>
        <v>3.584971931892194E-2</v>
      </c>
      <c r="J12" s="21">
        <v>5.5E-2</v>
      </c>
      <c r="K12" s="21">
        <v>5.5E-2</v>
      </c>
      <c r="L12" s="21">
        <v>0.04</v>
      </c>
      <c r="M12" s="21">
        <v>3.7999999999999999E-2</v>
      </c>
      <c r="N12" s="21">
        <v>3.7999999999999999E-2</v>
      </c>
      <c r="O12" s="29">
        <v>3.5999999999999997E-2</v>
      </c>
      <c r="P12" s="30">
        <v>3.4000000000000002E-2</v>
      </c>
      <c r="Q12" s="29">
        <v>3.1E-2</v>
      </c>
      <c r="R12" s="29">
        <v>2.4E-2</v>
      </c>
      <c r="S12" s="29">
        <v>2.1000000000000001E-2</v>
      </c>
      <c r="Z12" s="31"/>
    </row>
    <row r="13" spans="1:26" ht="14">
      <c r="A13" s="12"/>
      <c r="B13" s="25" t="s">
        <v>10</v>
      </c>
      <c r="C13" s="28"/>
      <c r="D13" s="28"/>
      <c r="E13" s="15">
        <v>2860.6819999999998</v>
      </c>
      <c r="F13" s="15">
        <v>3614.0889999999999</v>
      </c>
      <c r="G13" s="15">
        <v>3738.6039999999998</v>
      </c>
      <c r="H13" s="15">
        <v>3552.991</v>
      </c>
      <c r="I13" s="16">
        <v>3587.3739999999998</v>
      </c>
      <c r="J13" s="32">
        <f>'DCF (Base Case)'!H4*J14</f>
        <v>4295.19930100078</v>
      </c>
      <c r="K13" s="32">
        <f>'DCF (Base Case)'!I4*K14</f>
        <v>4536.1862591788476</v>
      </c>
      <c r="L13" s="32">
        <f>'DCF (Base Case)'!J4*L14</f>
        <v>4748.8524374550198</v>
      </c>
      <c r="M13" s="32">
        <f>'DCF (Base Case)'!K4*M14</f>
        <v>4959.3592919539678</v>
      </c>
      <c r="N13" s="32">
        <f>'DCF (Base Case)'!L4*N14</f>
        <v>5282.389944616204</v>
      </c>
      <c r="O13" s="32">
        <f>'DCF (Base Case)'!M4*O14</f>
        <v>5638.2822777530891</v>
      </c>
      <c r="P13" s="32">
        <f>'DCF (Base Case)'!N4*P14</f>
        <v>5953.2543529781051</v>
      </c>
      <c r="Q13" s="32">
        <f>'DCF (Base Case)'!O4*Q14</f>
        <v>6204.4626590815778</v>
      </c>
      <c r="R13" s="32">
        <f>'DCF (Base Case)'!P4*R14</f>
        <v>6503.8123697839173</v>
      </c>
      <c r="S13" s="32">
        <f>'DCF (Base Case)'!Q4*S14</f>
        <v>6758.5088044567492</v>
      </c>
    </row>
    <row r="14" spans="1:26" ht="14">
      <c r="A14" s="19"/>
      <c r="B14" s="27" t="s">
        <v>6</v>
      </c>
      <c r="C14" s="28"/>
      <c r="D14" s="28"/>
      <c r="E14" s="21">
        <f>E13/'DCF (Base Case)'!C$4</f>
        <v>0.10307278230165021</v>
      </c>
      <c r="F14" s="21">
        <f>F13/'DCF (Base Case)'!D$4</f>
        <v>0.1070942726421468</v>
      </c>
      <c r="G14" s="21">
        <f>G13/'DCF (Base Case)'!E$4</f>
        <v>0.10925073932508093</v>
      </c>
      <c r="H14" s="21">
        <f>H13/'DCF (Base Case)'!F$4</f>
        <v>9.3882953845828634E-2</v>
      </c>
      <c r="I14" s="22">
        <f>I13/'DCF (Base Case)'!G$4</f>
        <v>9.271712723175056E-2</v>
      </c>
      <c r="J14" s="21">
        <f t="shared" ref="J14:N14" si="2">AVERAGE(E14:I14)</f>
        <v>0.10120357506929142</v>
      </c>
      <c r="K14" s="21">
        <f t="shared" si="2"/>
        <v>0.10082973362281966</v>
      </c>
      <c r="L14" s="21">
        <f t="shared" si="2"/>
        <v>9.9576825818954245E-2</v>
      </c>
      <c r="M14" s="21">
        <f t="shared" si="2"/>
        <v>9.7642043117728908E-2</v>
      </c>
      <c r="N14" s="21">
        <f t="shared" si="2"/>
        <v>9.8393860972108949E-2</v>
      </c>
      <c r="O14" s="21">
        <f>AVERAGE(J14:N14)-0.001</f>
        <v>9.8529207720180631E-2</v>
      </c>
      <c r="P14" s="21">
        <f t="shared" ref="P14:S14" si="3">AVERAGE(K14:O14)</f>
        <v>9.8994334250358487E-2</v>
      </c>
      <c r="Q14" s="21">
        <f t="shared" si="3"/>
        <v>9.8627254375866252E-2</v>
      </c>
      <c r="R14" s="21">
        <f t="shared" si="3"/>
        <v>9.8437340087248651E-2</v>
      </c>
      <c r="S14" s="21">
        <f t="shared" si="3"/>
        <v>9.8596399481152591E-2</v>
      </c>
      <c r="U14" s="33" t="s">
        <v>11</v>
      </c>
    </row>
    <row r="15" spans="1:26" ht="14">
      <c r="A15" s="12"/>
      <c r="B15" s="25" t="s">
        <v>12</v>
      </c>
      <c r="C15" s="28"/>
      <c r="D15" s="28"/>
      <c r="E15" s="15">
        <v>709.15599999999995</v>
      </c>
      <c r="F15" s="15">
        <v>1006.552</v>
      </c>
      <c r="G15" s="15">
        <v>1049.1389999999999</v>
      </c>
      <c r="H15" s="15">
        <v>1036.9190000000001</v>
      </c>
      <c r="I15" s="16">
        <v>971.89</v>
      </c>
      <c r="J15" s="17">
        <f>'DCF (Base Case)'!H4*J16</f>
        <v>1176.0827722512631</v>
      </c>
      <c r="K15" s="17">
        <f>'DCF (Base Case)'!I4*K16</f>
        <v>1266.1030203814839</v>
      </c>
      <c r="L15" s="17">
        <f>'DCF (Base Case)'!J4*L16</f>
        <v>1326.0775979502785</v>
      </c>
      <c r="M15" s="17">
        <f>'DCF (Base Case)'!K4*M16</f>
        <v>1383.3267039812949</v>
      </c>
      <c r="N15" s="17">
        <f>'DCF (Base Case)'!L4*N16</f>
        <v>1460.4151886699708</v>
      </c>
      <c r="O15" s="17">
        <f>'DCF (Base Case)'!M4*O16</f>
        <v>1580.5173130965804</v>
      </c>
      <c r="P15" s="17">
        <f>'DCF (Base Case)'!N4*P16</f>
        <v>1659.8711098612141</v>
      </c>
      <c r="Q15" s="17">
        <f>'DCF (Base Case)'!O4*Q16</f>
        <v>1729.5389589261517</v>
      </c>
      <c r="R15" s="17">
        <f>'DCF (Base Case)'!P4*R16</f>
        <v>1812.3474231155169</v>
      </c>
      <c r="S15" s="17">
        <f>'DCF (Base Case)'!Q4*S16</f>
        <v>1882.9550910489872</v>
      </c>
      <c r="U15" s="31" t="s">
        <v>13</v>
      </c>
    </row>
    <row r="16" spans="1:26" ht="14">
      <c r="A16" s="19"/>
      <c r="B16" s="27" t="s">
        <v>6</v>
      </c>
      <c r="C16" s="28"/>
      <c r="D16" s="28"/>
      <c r="E16" s="21">
        <f>E15/'DCF (Base Case)'!C$4</f>
        <v>2.5551488073791165E-2</v>
      </c>
      <c r="F16" s="21">
        <f>F15/'DCF (Base Case)'!D$4</f>
        <v>2.9826590965661929E-2</v>
      </c>
      <c r="G16" s="21">
        <f>G15/'DCF (Base Case)'!E$4</f>
        <v>3.065829154539397E-2</v>
      </c>
      <c r="H16" s="21">
        <f>H15/'DCF (Base Case)'!F$4</f>
        <v>2.7399173997024701E-2</v>
      </c>
      <c r="I16" s="22">
        <f>I15/'DCF (Base Case)'!G$4</f>
        <v>2.5118888854428353E-2</v>
      </c>
      <c r="J16" s="21">
        <f t="shared" ref="J16:S16" si="4">AVERAGE(E16:I16)</f>
        <v>2.7710886687260024E-2</v>
      </c>
      <c r="K16" s="21">
        <f t="shared" si="4"/>
        <v>2.8142766409953796E-2</v>
      </c>
      <c r="L16" s="21">
        <f t="shared" si="4"/>
        <v>2.7806001498812172E-2</v>
      </c>
      <c r="M16" s="21">
        <f t="shared" si="4"/>
        <v>2.7235543489495806E-2</v>
      </c>
      <c r="N16" s="21">
        <f t="shared" si="4"/>
        <v>2.720281738799003E-2</v>
      </c>
      <c r="O16" s="21">
        <f t="shared" si="4"/>
        <v>2.7619603094702367E-2</v>
      </c>
      <c r="P16" s="21">
        <f t="shared" si="4"/>
        <v>2.7601346376190834E-2</v>
      </c>
      <c r="Q16" s="21">
        <f t="shared" si="4"/>
        <v>2.7493062369438243E-2</v>
      </c>
      <c r="R16" s="21">
        <f t="shared" si="4"/>
        <v>2.7430474543563454E-2</v>
      </c>
      <c r="S16" s="21">
        <f t="shared" si="4"/>
        <v>2.7469460754376986E-2</v>
      </c>
      <c r="U16" s="31" t="s">
        <v>14</v>
      </c>
    </row>
    <row r="17" spans="1:20" ht="14">
      <c r="A17" s="12"/>
      <c r="B17" s="25" t="s">
        <v>15</v>
      </c>
      <c r="C17" s="28"/>
      <c r="D17" s="28"/>
      <c r="E17" s="15">
        <v>8.3620000000000001</v>
      </c>
      <c r="F17" s="15">
        <v>16.062999999999999</v>
      </c>
      <c r="G17" s="15">
        <v>8.0549999999999997</v>
      </c>
      <c r="H17" s="15">
        <v>8.9190000000000005</v>
      </c>
      <c r="I17" s="16">
        <v>10.709</v>
      </c>
      <c r="J17" s="17">
        <f>'DCF (Base Case)'!$H4*J18</f>
        <v>12.9455157155507</v>
      </c>
      <c r="K17" s="17">
        <f>'DCF (Base Case)'!I4*K18</f>
        <v>13.756113673654312</v>
      </c>
      <c r="L17" s="17">
        <f>'DCF (Base Case)'!J4*L18</f>
        <v>12.958688598736071</v>
      </c>
      <c r="M17" s="17">
        <f>'DCF (Base Case)'!K4*M18</f>
        <v>14.170428292406656</v>
      </c>
      <c r="N17" s="17">
        <f>'DCF (Base Case)'!L4*N18</f>
        <v>15.443249291643047</v>
      </c>
      <c r="O17" s="17">
        <f>'DCF (Base Case)'!M4*O18</f>
        <v>16.585583493336532</v>
      </c>
      <c r="P17" s="17">
        <f>'DCF (Base Case)'!N4*P18</f>
        <v>17.247142639023309</v>
      </c>
      <c r="Q17" s="17">
        <f>'DCF (Base Case)'!O4*Q18</f>
        <v>17.803105500706756</v>
      </c>
      <c r="R17" s="17">
        <f>'DCF (Base Case)'!P4*R18</f>
        <v>18.84706355684278</v>
      </c>
      <c r="S17" s="17">
        <f>'DCF (Base Case)'!Q4*S18</f>
        <v>19.639400586254567</v>
      </c>
    </row>
    <row r="18" spans="1:20" ht="14">
      <c r="A18" s="19"/>
      <c r="B18" s="27" t="s">
        <v>6</v>
      </c>
      <c r="C18" s="28"/>
      <c r="D18" s="28"/>
      <c r="E18" s="21">
        <f>E17/'DCF (Base Case)'!C$4</f>
        <v>3.0128990415795922E-4</v>
      </c>
      <c r="F18" s="21">
        <f>F17/'DCF (Base Case)'!D$4</f>
        <v>4.7598587125297797E-4</v>
      </c>
      <c r="G18" s="21">
        <f>G17/'DCF (Base Case)'!E$4</f>
        <v>2.3538591015885259E-4</v>
      </c>
      <c r="H18" s="21">
        <f>H17/'DCF (Base Case)'!F$4</f>
        <v>2.3567244199350509E-4</v>
      </c>
      <c r="I18" s="22">
        <f>I17/'DCF (Base Case)'!G$4</f>
        <v>2.7677842218982931E-4</v>
      </c>
      <c r="J18" s="21">
        <f t="shared" ref="J18:S18" si="5">AVERAGE(E18:I18)</f>
        <v>3.0502250995062481E-4</v>
      </c>
      <c r="K18" s="21">
        <f t="shared" si="5"/>
        <v>3.057690311091579E-4</v>
      </c>
      <c r="L18" s="21">
        <f t="shared" si="5"/>
        <v>2.7172566308039387E-4</v>
      </c>
      <c r="M18" s="21">
        <f t="shared" si="5"/>
        <v>2.7899361366470223E-4</v>
      </c>
      <c r="N18" s="21">
        <f t="shared" si="5"/>
        <v>2.8765784799894166E-4</v>
      </c>
      <c r="O18" s="21">
        <f t="shared" si="5"/>
        <v>2.8983373316076412E-4</v>
      </c>
      <c r="P18" s="21">
        <f t="shared" si="5"/>
        <v>2.8679597780279198E-4</v>
      </c>
      <c r="Q18" s="21">
        <f t="shared" si="5"/>
        <v>2.8300136714151875E-4</v>
      </c>
      <c r="R18" s="21">
        <f t="shared" si="5"/>
        <v>2.8525650795374374E-4</v>
      </c>
      <c r="S18" s="21">
        <f t="shared" si="5"/>
        <v>2.8650908681155204E-4</v>
      </c>
    </row>
    <row r="19" spans="1:20" ht="9" customHeight="1">
      <c r="A19" s="19"/>
      <c r="B19" s="34"/>
      <c r="C19" s="2"/>
      <c r="D19" s="2"/>
      <c r="E19" s="15"/>
      <c r="F19" s="15"/>
      <c r="G19" s="15"/>
      <c r="H19" s="15"/>
      <c r="I19" s="16"/>
      <c r="J19" s="35"/>
      <c r="K19" s="35"/>
      <c r="L19" s="35"/>
      <c r="M19" s="36"/>
      <c r="N19" s="35"/>
      <c r="O19" s="37"/>
      <c r="P19" s="2"/>
      <c r="Q19" s="2"/>
      <c r="R19" s="2"/>
    </row>
    <row r="20" spans="1:20" ht="14">
      <c r="A20" s="12"/>
      <c r="B20" s="38" t="s">
        <v>16</v>
      </c>
      <c r="C20" s="39"/>
      <c r="D20" s="39"/>
      <c r="E20" s="40">
        <f t="shared" ref="E20:S20" si="6">E5+E7+E9-E11-E13-E15-E17</f>
        <v>394.54300000000109</v>
      </c>
      <c r="F20" s="40">
        <f t="shared" si="6"/>
        <v>-173.14099999999985</v>
      </c>
      <c r="G20" s="40">
        <f t="shared" si="6"/>
        <v>-20.342999999999783</v>
      </c>
      <c r="H20" s="40">
        <f t="shared" si="6"/>
        <v>1311.6649999999995</v>
      </c>
      <c r="I20" s="16">
        <f t="shared" si="6"/>
        <v>1516.3849999999986</v>
      </c>
      <c r="J20" s="40">
        <f t="shared" si="6"/>
        <v>262.65366282635392</v>
      </c>
      <c r="K20" s="40">
        <f t="shared" si="6"/>
        <v>-164.98007704157303</v>
      </c>
      <c r="L20" s="40">
        <f t="shared" si="6"/>
        <v>160.19779510078538</v>
      </c>
      <c r="M20" s="40">
        <f t="shared" si="6"/>
        <v>408.63115575670815</v>
      </c>
      <c r="N20" s="40">
        <f t="shared" si="6"/>
        <v>388.66220780693516</v>
      </c>
      <c r="O20" s="40">
        <f t="shared" si="6"/>
        <v>-89.665579814681408</v>
      </c>
      <c r="P20" s="40">
        <f t="shared" si="6"/>
        <v>4.9299548777429436</v>
      </c>
      <c r="Q20" s="40">
        <f t="shared" si="6"/>
        <v>228.47029523242105</v>
      </c>
      <c r="R20" s="40">
        <f t="shared" si="6"/>
        <v>58.561061251590274</v>
      </c>
      <c r="S20" s="40">
        <f t="shared" si="6"/>
        <v>250.50904014342456</v>
      </c>
    </row>
    <row r="21" spans="1:20" ht="14">
      <c r="A21" s="19"/>
      <c r="B21" s="41" t="s">
        <v>17</v>
      </c>
      <c r="C21" s="39"/>
      <c r="D21" s="39"/>
      <c r="E21" s="15" t="s">
        <v>18</v>
      </c>
      <c r="F21" s="42">
        <f t="shared" ref="F21:S21" si="7">F20-E20</f>
        <v>-567.68400000000088</v>
      </c>
      <c r="G21" s="42">
        <f t="shared" si="7"/>
        <v>152.79800000000006</v>
      </c>
      <c r="H21" s="42">
        <f t="shared" si="7"/>
        <v>1332.0079999999994</v>
      </c>
      <c r="I21" s="43">
        <f t="shared" si="7"/>
        <v>204.71999999999912</v>
      </c>
      <c r="J21" s="42">
        <f t="shared" si="7"/>
        <v>-1253.7313371736448</v>
      </c>
      <c r="K21" s="42">
        <f t="shared" si="7"/>
        <v>-427.63373986792692</v>
      </c>
      <c r="L21" s="42">
        <f t="shared" si="7"/>
        <v>325.17787214235841</v>
      </c>
      <c r="M21" s="42">
        <f t="shared" si="7"/>
        <v>248.43336065592277</v>
      </c>
      <c r="N21" s="42">
        <f t="shared" si="7"/>
        <v>-19.968947949772996</v>
      </c>
      <c r="O21" s="42">
        <f t="shared" si="7"/>
        <v>-478.32778762161655</v>
      </c>
      <c r="P21" s="42">
        <f t="shared" si="7"/>
        <v>94.595534692424351</v>
      </c>
      <c r="Q21" s="42">
        <f t="shared" si="7"/>
        <v>223.54034035467811</v>
      </c>
      <c r="R21" s="42">
        <f t="shared" si="7"/>
        <v>-169.90923398083078</v>
      </c>
      <c r="S21" s="42">
        <f t="shared" si="7"/>
        <v>191.94797889183428</v>
      </c>
    </row>
    <row r="22" spans="1:20" ht="14">
      <c r="A22" s="12"/>
      <c r="B22" s="1"/>
      <c r="C22" s="2"/>
      <c r="D22" s="2"/>
      <c r="E22" s="15"/>
      <c r="F22" s="15"/>
      <c r="G22" s="15"/>
      <c r="H22" s="15"/>
      <c r="I22" s="40"/>
      <c r="J22" s="44"/>
      <c r="K22" s="44"/>
      <c r="L22" s="44"/>
      <c r="M22" s="44"/>
      <c r="N22" s="44"/>
      <c r="O22" s="45"/>
      <c r="P22" s="46"/>
      <c r="Q22" s="2"/>
      <c r="R22" s="2"/>
    </row>
    <row r="23" spans="1:20" ht="14">
      <c r="A23" s="34"/>
      <c r="B23" s="34"/>
      <c r="C23" s="2"/>
      <c r="D23" s="2"/>
      <c r="E23" s="15"/>
      <c r="F23" s="15"/>
      <c r="G23" s="15"/>
      <c r="H23" s="15"/>
      <c r="I23" s="40"/>
      <c r="J23" s="35"/>
      <c r="K23" s="35"/>
      <c r="L23" s="35"/>
      <c r="M23" s="35"/>
      <c r="N23" s="35"/>
      <c r="O23" s="2" t="s">
        <v>19</v>
      </c>
      <c r="P23" s="2"/>
      <c r="Q23" s="2"/>
      <c r="R23" s="2"/>
      <c r="S23" s="2"/>
      <c r="T23" s="2"/>
    </row>
    <row r="24" spans="1:20" ht="14">
      <c r="A24" s="47"/>
      <c r="B24" s="47"/>
      <c r="C24" s="2"/>
      <c r="D24" s="2"/>
      <c r="E24" s="48"/>
      <c r="F24" s="48"/>
      <c r="G24" s="48"/>
      <c r="H24" s="48"/>
      <c r="I24" s="48"/>
      <c r="J24" s="49"/>
      <c r="K24" s="50"/>
      <c r="L24" s="50"/>
      <c r="M24" s="50"/>
      <c r="N24" s="50"/>
      <c r="O24" s="207" t="s">
        <v>20</v>
      </c>
      <c r="P24" s="206"/>
      <c r="Q24" s="206"/>
      <c r="R24" s="206"/>
      <c r="S24" s="206"/>
      <c r="T24" s="206"/>
    </row>
    <row r="25" spans="1:20" ht="13">
      <c r="A25" s="2"/>
      <c r="B25" s="2"/>
      <c r="C25" s="2"/>
      <c r="D25" s="2"/>
      <c r="E25" s="2"/>
      <c r="F25" s="2"/>
      <c r="G25" s="2"/>
      <c r="H25" s="2"/>
      <c r="I25" s="2"/>
      <c r="J25" s="2"/>
      <c r="K25" s="2"/>
      <c r="L25" s="2"/>
      <c r="M25" s="2"/>
      <c r="N25" s="2"/>
      <c r="O25" s="206"/>
      <c r="P25" s="206"/>
      <c r="Q25" s="206"/>
      <c r="R25" s="206"/>
      <c r="S25" s="206"/>
      <c r="T25" s="206"/>
    </row>
    <row r="26" spans="1:20" ht="13">
      <c r="A26" s="2"/>
      <c r="B26" s="2"/>
      <c r="C26" s="2"/>
      <c r="D26" s="2"/>
      <c r="E26" s="2"/>
      <c r="F26" s="2"/>
      <c r="G26" s="2"/>
      <c r="H26" s="2"/>
      <c r="I26" s="2"/>
      <c r="J26" s="2"/>
      <c r="K26" s="2"/>
      <c r="L26" s="2"/>
      <c r="M26" s="2"/>
      <c r="N26" s="2"/>
      <c r="O26" s="206"/>
      <c r="P26" s="206"/>
      <c r="Q26" s="206"/>
      <c r="R26" s="206"/>
      <c r="S26" s="206"/>
      <c r="T26" s="206"/>
    </row>
    <row r="27" spans="1:20" ht="14">
      <c r="A27" s="47"/>
      <c r="B27" s="47"/>
      <c r="C27" s="2"/>
      <c r="D27" s="2"/>
      <c r="E27" s="51"/>
      <c r="F27" s="2"/>
      <c r="G27" s="2"/>
      <c r="H27" s="2"/>
      <c r="I27" s="2"/>
      <c r="J27" s="2"/>
      <c r="K27" s="51"/>
      <c r="L27" s="51"/>
      <c r="M27" s="52"/>
      <c r="N27" s="52"/>
      <c r="O27" s="208" t="s">
        <v>21</v>
      </c>
      <c r="P27" s="206"/>
      <c r="Q27" s="206"/>
      <c r="R27" s="206"/>
      <c r="S27" s="206"/>
      <c r="T27" s="2"/>
    </row>
    <row r="28" spans="1:20" ht="14">
      <c r="A28" s="34"/>
      <c r="B28" s="34"/>
      <c r="C28" s="2"/>
      <c r="D28" s="2"/>
      <c r="E28" s="53"/>
      <c r="F28" s="2"/>
      <c r="G28" s="2"/>
      <c r="H28" s="2"/>
      <c r="I28" s="2"/>
      <c r="J28" s="2"/>
      <c r="K28" s="35"/>
      <c r="L28" s="35"/>
      <c r="M28" s="35"/>
      <c r="N28" s="35"/>
      <c r="O28" s="54"/>
      <c r="P28" s="2"/>
      <c r="Q28" s="2"/>
      <c r="R28" s="2"/>
      <c r="S28" s="55"/>
      <c r="T28" s="2"/>
    </row>
    <row r="29" spans="1:20" ht="13">
      <c r="A29" s="2"/>
      <c r="B29" s="2"/>
      <c r="C29" s="2"/>
      <c r="D29" s="2"/>
      <c r="E29" s="2"/>
      <c r="F29" s="2"/>
      <c r="G29" s="2"/>
      <c r="H29" s="2"/>
      <c r="I29" s="2"/>
      <c r="J29" s="2"/>
      <c r="K29" s="2"/>
      <c r="L29" s="2"/>
      <c r="M29" s="2"/>
      <c r="N29" s="2"/>
      <c r="O29" s="54"/>
      <c r="P29" s="2"/>
      <c r="Q29" s="2"/>
      <c r="R29" s="2"/>
      <c r="S29" s="2"/>
      <c r="T29" s="2"/>
    </row>
    <row r="30" spans="1:20" ht="14">
      <c r="A30" s="47"/>
      <c r="B30" s="47"/>
      <c r="C30" s="2"/>
      <c r="D30" s="2"/>
      <c r="E30" s="2"/>
      <c r="F30" s="2"/>
      <c r="G30" s="2"/>
      <c r="H30" s="2"/>
      <c r="I30" s="2"/>
      <c r="J30" s="2"/>
      <c r="K30" s="2"/>
      <c r="L30" s="2"/>
      <c r="M30" s="2"/>
      <c r="N30" s="2"/>
      <c r="O30" s="2"/>
      <c r="P30" s="2"/>
      <c r="Q30" s="2"/>
      <c r="R30" s="2"/>
      <c r="S30" s="2"/>
      <c r="T30" s="2"/>
    </row>
    <row r="31" spans="1:20" ht="14">
      <c r="A31" s="1"/>
      <c r="B31" s="1"/>
      <c r="C31" s="2"/>
      <c r="D31" s="2"/>
      <c r="E31" s="56"/>
      <c r="F31" s="56"/>
      <c r="G31" s="56"/>
      <c r="H31" s="56"/>
      <c r="I31" s="56"/>
      <c r="J31" s="57"/>
      <c r="K31" s="57"/>
      <c r="L31" s="56"/>
      <c r="M31" s="56"/>
      <c r="N31" s="56"/>
      <c r="P31" s="2"/>
      <c r="Q31" s="2"/>
      <c r="R31" s="2"/>
      <c r="S31" s="2"/>
      <c r="T31" s="2"/>
    </row>
    <row r="32" spans="1:20" ht="14">
      <c r="A32" s="34"/>
      <c r="B32" s="34"/>
      <c r="C32" s="2"/>
      <c r="D32" s="2"/>
      <c r="E32" s="58"/>
      <c r="F32" s="36"/>
      <c r="G32" s="36"/>
      <c r="H32" s="36"/>
      <c r="I32" s="36"/>
      <c r="J32" s="36"/>
      <c r="K32" s="36"/>
      <c r="L32" s="36"/>
      <c r="M32" s="36"/>
      <c r="N32" s="36"/>
      <c r="O32" s="2"/>
      <c r="P32" s="2"/>
      <c r="Q32" s="2"/>
      <c r="R32" s="2"/>
    </row>
    <row r="33" spans="1:18" ht="14">
      <c r="A33" s="1"/>
      <c r="B33" s="1"/>
      <c r="C33" s="2"/>
      <c r="D33" s="2"/>
      <c r="E33" s="56"/>
      <c r="F33" s="56"/>
      <c r="G33" s="56"/>
      <c r="H33" s="56"/>
      <c r="I33" s="56"/>
      <c r="J33" s="56"/>
      <c r="K33" s="56"/>
      <c r="L33" s="57"/>
      <c r="M33" s="57"/>
      <c r="N33" s="56"/>
      <c r="O33" s="2"/>
      <c r="P33" s="2"/>
      <c r="Q33" s="2"/>
      <c r="R33" s="2"/>
    </row>
    <row r="34" spans="1:18" ht="14">
      <c r="A34" s="34"/>
      <c r="B34" s="34"/>
      <c r="C34" s="2"/>
      <c r="D34" s="2"/>
      <c r="E34" s="58"/>
      <c r="F34" s="36"/>
      <c r="G34" s="36"/>
      <c r="H34" s="36"/>
      <c r="I34" s="36"/>
      <c r="J34" s="36"/>
      <c r="K34" s="36"/>
      <c r="L34" s="36"/>
      <c r="M34" s="36"/>
      <c r="N34" s="36"/>
      <c r="O34" s="2"/>
      <c r="P34" s="2"/>
      <c r="Q34" s="2"/>
      <c r="R34" s="2"/>
    </row>
    <row r="35" spans="1:18" ht="14">
      <c r="A35" s="1"/>
      <c r="B35" s="1"/>
      <c r="C35" s="2"/>
      <c r="D35" s="2"/>
      <c r="E35" s="56"/>
      <c r="F35" s="56"/>
      <c r="G35" s="56"/>
      <c r="H35" s="56"/>
      <c r="I35" s="56"/>
      <c r="J35" s="56"/>
      <c r="K35" s="56"/>
      <c r="L35" s="56"/>
      <c r="M35" s="56"/>
      <c r="N35" s="56"/>
      <c r="O35" s="2"/>
      <c r="P35" s="2"/>
      <c r="Q35" s="2"/>
      <c r="R35" s="2"/>
    </row>
    <row r="36" spans="1:18" ht="14">
      <c r="A36" s="34"/>
      <c r="B36" s="34"/>
      <c r="C36" s="2"/>
      <c r="D36" s="2"/>
      <c r="E36" s="58"/>
      <c r="F36" s="36"/>
      <c r="G36" s="36"/>
      <c r="H36" s="36"/>
      <c r="I36" s="36"/>
      <c r="J36" s="36"/>
      <c r="K36" s="36"/>
      <c r="L36" s="36"/>
      <c r="M36" s="36"/>
      <c r="N36" s="36"/>
      <c r="O36" s="2"/>
      <c r="P36" s="2"/>
      <c r="Q36" s="2"/>
      <c r="R36" s="2"/>
    </row>
    <row r="37" spans="1:18" ht="14">
      <c r="A37" s="1"/>
      <c r="B37" s="1"/>
      <c r="C37" s="2"/>
      <c r="D37" s="2"/>
      <c r="E37" s="56"/>
      <c r="F37" s="56"/>
      <c r="G37" s="56"/>
      <c r="H37" s="56"/>
      <c r="I37" s="56"/>
      <c r="J37" s="56"/>
      <c r="K37" s="56"/>
      <c r="L37" s="56"/>
      <c r="M37" s="56"/>
      <c r="N37" s="56"/>
      <c r="O37" s="2"/>
      <c r="P37" s="2"/>
      <c r="Q37" s="2"/>
      <c r="R37" s="2"/>
    </row>
    <row r="38" spans="1:18" ht="14">
      <c r="A38" s="34"/>
      <c r="B38" s="34"/>
      <c r="C38" s="2"/>
      <c r="D38" s="2"/>
      <c r="E38" s="53"/>
      <c r="F38" s="36"/>
      <c r="G38" s="36"/>
      <c r="H38" s="36"/>
      <c r="I38" s="36"/>
      <c r="J38" s="36"/>
      <c r="K38" s="36"/>
      <c r="L38" s="36"/>
      <c r="M38" s="36"/>
      <c r="N38" s="36"/>
      <c r="O38" s="2"/>
      <c r="P38" s="2"/>
      <c r="Q38" s="2"/>
      <c r="R38" s="2"/>
    </row>
  </sheetData>
  <mergeCells count="5">
    <mergeCell ref="E2:S2"/>
    <mergeCell ref="E3:I3"/>
    <mergeCell ref="J3:S3"/>
    <mergeCell ref="O24:T26"/>
    <mergeCell ref="O27:S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46"/>
  <sheetViews>
    <sheetView showGridLines="0" workbookViewId="0"/>
  </sheetViews>
  <sheetFormatPr baseColWidth="10" defaultColWidth="12.6640625" defaultRowHeight="15.75" customHeight="1"/>
  <sheetData>
    <row r="1" spans="1:21" ht="13">
      <c r="A1" s="45"/>
      <c r="B1" s="2"/>
      <c r="C1" s="2"/>
      <c r="D1" s="2"/>
      <c r="E1" s="2"/>
      <c r="F1" s="2"/>
      <c r="G1" s="2"/>
      <c r="H1" s="2"/>
      <c r="I1" s="2"/>
      <c r="J1" s="2"/>
      <c r="K1" s="2"/>
      <c r="L1" s="2"/>
      <c r="M1" s="2"/>
      <c r="N1" s="2"/>
      <c r="O1" s="2"/>
      <c r="P1" s="2"/>
      <c r="Q1" s="2"/>
      <c r="R1" s="2"/>
    </row>
    <row r="2" spans="1:21" ht="15">
      <c r="A2" s="2"/>
      <c r="C2" s="2"/>
      <c r="D2" s="2"/>
      <c r="E2" s="205" t="s">
        <v>22</v>
      </c>
      <c r="F2" s="206"/>
      <c r="G2" s="206"/>
      <c r="H2" s="206"/>
      <c r="I2" s="206"/>
      <c r="J2" s="206"/>
      <c r="K2" s="206"/>
      <c r="L2" s="206"/>
      <c r="M2" s="206"/>
      <c r="N2" s="206"/>
      <c r="O2" s="206"/>
      <c r="P2" s="206"/>
      <c r="Q2" s="206"/>
      <c r="R2" s="206"/>
      <c r="S2" s="206"/>
    </row>
    <row r="3" spans="1:21" ht="15">
      <c r="A3" s="2"/>
      <c r="B3" s="2"/>
      <c r="C3" s="6"/>
      <c r="D3" s="6"/>
      <c r="E3" s="205" t="s">
        <v>2</v>
      </c>
      <c r="F3" s="206"/>
      <c r="G3" s="206"/>
      <c r="H3" s="206"/>
      <c r="I3" s="206"/>
      <c r="J3" s="205" t="s">
        <v>3</v>
      </c>
      <c r="K3" s="206"/>
      <c r="L3" s="206"/>
      <c r="M3" s="206"/>
      <c r="N3" s="206"/>
      <c r="O3" s="206"/>
      <c r="P3" s="206"/>
      <c r="Q3" s="206"/>
      <c r="R3" s="206"/>
      <c r="S3" s="206"/>
    </row>
    <row r="4" spans="1:21" ht="14">
      <c r="A4" s="2"/>
      <c r="B4" s="8" t="s">
        <v>4</v>
      </c>
      <c r="C4" s="2"/>
      <c r="D4" s="2"/>
      <c r="E4" s="9">
        <v>2019</v>
      </c>
      <c r="F4" s="9">
        <v>2020</v>
      </c>
      <c r="G4" s="9">
        <v>2021</v>
      </c>
      <c r="H4" s="9">
        <v>2022</v>
      </c>
      <c r="I4" s="10">
        <v>2023</v>
      </c>
      <c r="J4" s="9">
        <v>2024</v>
      </c>
      <c r="K4" s="9">
        <v>2025</v>
      </c>
      <c r="L4" s="9">
        <v>2026</v>
      </c>
      <c r="M4" s="9">
        <v>2027</v>
      </c>
      <c r="N4" s="9">
        <v>2028</v>
      </c>
      <c r="O4" s="11">
        <f t="shared" ref="O4:S4" si="0">N4+1</f>
        <v>2029</v>
      </c>
      <c r="P4" s="11">
        <f t="shared" si="0"/>
        <v>2030</v>
      </c>
      <c r="Q4" s="11">
        <f t="shared" si="0"/>
        <v>2031</v>
      </c>
      <c r="R4" s="11">
        <f t="shared" si="0"/>
        <v>2032</v>
      </c>
      <c r="S4" s="11">
        <f t="shared" si="0"/>
        <v>2033</v>
      </c>
    </row>
    <row r="5" spans="1:21" ht="14">
      <c r="A5" s="2"/>
      <c r="B5" s="1" t="s">
        <v>23</v>
      </c>
      <c r="C5" s="2"/>
      <c r="D5" s="2"/>
      <c r="E5" s="44">
        <v>975</v>
      </c>
      <c r="F5" s="44">
        <v>1000</v>
      </c>
      <c r="G5" s="44">
        <v>1050</v>
      </c>
      <c r="H5" s="44">
        <v>1039</v>
      </c>
      <c r="I5" s="59">
        <v>744</v>
      </c>
      <c r="J5" s="44">
        <v>700</v>
      </c>
      <c r="K5" s="44">
        <v>720</v>
      </c>
      <c r="L5" s="44">
        <v>750</v>
      </c>
      <c r="M5" s="44">
        <v>750</v>
      </c>
      <c r="N5" s="44">
        <v>750</v>
      </c>
      <c r="O5" s="44">
        <v>780</v>
      </c>
      <c r="P5" s="44">
        <v>780</v>
      </c>
      <c r="Q5" s="44">
        <v>800</v>
      </c>
      <c r="R5" s="44">
        <v>800</v>
      </c>
      <c r="S5" s="44">
        <v>800</v>
      </c>
      <c r="T5" s="31"/>
      <c r="U5" s="31" t="s">
        <v>24</v>
      </c>
    </row>
    <row r="6" spans="1:21" ht="14">
      <c r="A6" s="2"/>
      <c r="B6" s="1" t="s">
        <v>25</v>
      </c>
      <c r="C6" s="2"/>
      <c r="D6" s="2"/>
      <c r="E6" s="44">
        <v>0</v>
      </c>
      <c r="F6" s="44">
        <v>0</v>
      </c>
      <c r="G6" s="44">
        <v>0</v>
      </c>
      <c r="H6" s="44">
        <v>0</v>
      </c>
      <c r="I6" s="59">
        <v>3</v>
      </c>
      <c r="J6" s="44">
        <v>15</v>
      </c>
      <c r="K6" s="44">
        <v>20</v>
      </c>
      <c r="L6" s="44">
        <v>20</v>
      </c>
      <c r="M6" s="44">
        <v>20</v>
      </c>
      <c r="N6" s="44">
        <v>20</v>
      </c>
      <c r="O6" s="44">
        <v>25</v>
      </c>
      <c r="P6" s="44">
        <v>25</v>
      </c>
      <c r="Q6" s="44">
        <v>25</v>
      </c>
      <c r="R6" s="44">
        <v>30</v>
      </c>
      <c r="S6" s="44">
        <v>30</v>
      </c>
      <c r="T6" s="60"/>
      <c r="U6" s="60" t="s">
        <v>26</v>
      </c>
    </row>
    <row r="7" spans="1:21" ht="14">
      <c r="A7" s="2"/>
      <c r="B7" s="1" t="s">
        <v>27</v>
      </c>
      <c r="C7" s="1"/>
      <c r="D7" s="1"/>
      <c r="E7" s="61"/>
      <c r="F7" s="61"/>
      <c r="G7" s="61"/>
      <c r="H7" s="61"/>
      <c r="I7" s="62">
        <v>240</v>
      </c>
      <c r="J7" s="1">
        <v>250</v>
      </c>
      <c r="K7" s="1">
        <v>250</v>
      </c>
      <c r="L7" s="1">
        <v>250</v>
      </c>
      <c r="M7" s="1">
        <v>280</v>
      </c>
      <c r="N7" s="1">
        <v>280</v>
      </c>
      <c r="O7" s="44">
        <v>300</v>
      </c>
      <c r="P7" s="44">
        <v>300</v>
      </c>
      <c r="Q7" s="44">
        <v>300</v>
      </c>
      <c r="R7" s="44">
        <v>320</v>
      </c>
      <c r="S7" s="44">
        <v>320</v>
      </c>
      <c r="T7" s="2"/>
      <c r="U7" s="2" t="s">
        <v>28</v>
      </c>
    </row>
    <row r="8" spans="1:21" ht="14">
      <c r="A8" s="2"/>
      <c r="B8" s="1" t="s">
        <v>29</v>
      </c>
      <c r="C8" s="2"/>
      <c r="D8" s="2"/>
      <c r="E8" s="44">
        <f t="shared" ref="E8:H8" si="1">E5+E6</f>
        <v>975</v>
      </c>
      <c r="F8" s="44">
        <f t="shared" si="1"/>
        <v>1000</v>
      </c>
      <c r="G8" s="44">
        <f t="shared" si="1"/>
        <v>1050</v>
      </c>
      <c r="H8" s="44">
        <f t="shared" si="1"/>
        <v>1039</v>
      </c>
      <c r="I8" s="59">
        <f t="shared" ref="I8:S8" si="2">I5+I6+I7</f>
        <v>987</v>
      </c>
      <c r="J8" s="44">
        <f t="shared" si="2"/>
        <v>965</v>
      </c>
      <c r="K8" s="44">
        <f t="shared" si="2"/>
        <v>990</v>
      </c>
      <c r="L8" s="44">
        <f t="shared" si="2"/>
        <v>1020</v>
      </c>
      <c r="M8" s="44">
        <f t="shared" si="2"/>
        <v>1050</v>
      </c>
      <c r="N8" s="44">
        <f t="shared" si="2"/>
        <v>1050</v>
      </c>
      <c r="O8" s="44">
        <f t="shared" si="2"/>
        <v>1105</v>
      </c>
      <c r="P8" s="44">
        <f t="shared" si="2"/>
        <v>1105</v>
      </c>
      <c r="Q8" s="44">
        <f t="shared" si="2"/>
        <v>1125</v>
      </c>
      <c r="R8" s="44">
        <f t="shared" si="2"/>
        <v>1150</v>
      </c>
      <c r="S8" s="44">
        <f t="shared" si="2"/>
        <v>1150</v>
      </c>
      <c r="T8" s="2"/>
      <c r="U8" s="2" t="s">
        <v>30</v>
      </c>
    </row>
    <row r="9" spans="1:21" ht="14">
      <c r="A9" s="2"/>
      <c r="B9" s="1" t="s">
        <v>31</v>
      </c>
      <c r="C9" s="2"/>
      <c r="D9" s="2"/>
      <c r="E9" s="44">
        <v>67</v>
      </c>
      <c r="F9" s="44">
        <v>101</v>
      </c>
      <c r="G9" s="44">
        <v>97</v>
      </c>
      <c r="H9" s="44">
        <v>65</v>
      </c>
      <c r="I9" s="59">
        <v>105</v>
      </c>
      <c r="J9" s="44">
        <f>AVERAGE($F9:$I9)</f>
        <v>92</v>
      </c>
      <c r="K9" s="44">
        <v>95</v>
      </c>
      <c r="L9" s="44">
        <v>100</v>
      </c>
      <c r="M9" s="44">
        <v>85</v>
      </c>
      <c r="N9" s="44">
        <v>85</v>
      </c>
      <c r="O9" s="44">
        <v>82</v>
      </c>
      <c r="P9" s="44">
        <v>82</v>
      </c>
      <c r="Q9" s="44">
        <v>78</v>
      </c>
      <c r="R9" s="44">
        <v>75</v>
      </c>
      <c r="S9" s="44">
        <v>75</v>
      </c>
      <c r="T9" s="2"/>
      <c r="U9" s="2" t="s">
        <v>32</v>
      </c>
    </row>
    <row r="10" spans="1:21" ht="7.5" customHeight="1">
      <c r="A10" s="2"/>
      <c r="B10" s="1"/>
      <c r="C10" s="2"/>
      <c r="D10" s="2"/>
      <c r="E10" s="35"/>
      <c r="F10" s="35"/>
      <c r="G10" s="35"/>
      <c r="H10" s="35"/>
      <c r="I10" s="63"/>
      <c r="J10" s="35"/>
      <c r="K10" s="35"/>
      <c r="L10" s="35"/>
      <c r="M10" s="35"/>
      <c r="N10" s="35"/>
      <c r="O10" s="44"/>
      <c r="P10" s="44"/>
      <c r="Q10" s="44"/>
      <c r="R10" s="44"/>
      <c r="S10" s="44"/>
      <c r="T10" s="2"/>
      <c r="U10" s="2" t="s">
        <v>33</v>
      </c>
    </row>
    <row r="11" spans="1:21" ht="14">
      <c r="A11" s="2"/>
      <c r="B11" s="1" t="s">
        <v>34</v>
      </c>
      <c r="C11" s="2"/>
      <c r="D11" s="2"/>
      <c r="E11" s="44">
        <f>15370</f>
        <v>15370</v>
      </c>
      <c r="F11" s="44">
        <f t="shared" ref="F11:S11" si="3">E15</f>
        <v>16278</v>
      </c>
      <c r="G11" s="44">
        <f t="shared" si="3"/>
        <v>17177</v>
      </c>
      <c r="H11" s="44">
        <f t="shared" si="3"/>
        <v>18130</v>
      </c>
      <c r="I11" s="59">
        <f t="shared" si="3"/>
        <v>19104</v>
      </c>
      <c r="J11" s="44">
        <f t="shared" si="3"/>
        <v>19986</v>
      </c>
      <c r="K11" s="64">
        <f t="shared" si="3"/>
        <v>20859</v>
      </c>
      <c r="L11" s="64">
        <f t="shared" si="3"/>
        <v>21754</v>
      </c>
      <c r="M11" s="64">
        <f t="shared" si="3"/>
        <v>22674</v>
      </c>
      <c r="N11" s="64">
        <f t="shared" si="3"/>
        <v>23639</v>
      </c>
      <c r="O11" s="64">
        <f t="shared" si="3"/>
        <v>24604</v>
      </c>
      <c r="P11" s="64">
        <f t="shared" si="3"/>
        <v>25627</v>
      </c>
      <c r="Q11" s="64">
        <f t="shared" si="3"/>
        <v>26650</v>
      </c>
      <c r="R11" s="64">
        <f t="shared" si="3"/>
        <v>27697</v>
      </c>
      <c r="S11" s="64">
        <f t="shared" si="3"/>
        <v>28772</v>
      </c>
      <c r="T11" s="2"/>
      <c r="U11" s="2" t="s">
        <v>35</v>
      </c>
    </row>
    <row r="12" spans="1:21" ht="14">
      <c r="A12" s="2"/>
      <c r="B12" s="1" t="s">
        <v>36</v>
      </c>
      <c r="C12" s="2"/>
      <c r="D12" s="2"/>
      <c r="E12" s="44">
        <f t="shared" ref="E12:S12" si="4">E8</f>
        <v>975</v>
      </c>
      <c r="F12" s="44">
        <f t="shared" si="4"/>
        <v>1000</v>
      </c>
      <c r="G12" s="44">
        <f t="shared" si="4"/>
        <v>1050</v>
      </c>
      <c r="H12" s="44">
        <f t="shared" si="4"/>
        <v>1039</v>
      </c>
      <c r="I12" s="59">
        <f t="shared" si="4"/>
        <v>987</v>
      </c>
      <c r="J12" s="44">
        <f t="shared" si="4"/>
        <v>965</v>
      </c>
      <c r="K12" s="44">
        <f t="shared" si="4"/>
        <v>990</v>
      </c>
      <c r="L12" s="44">
        <f t="shared" si="4"/>
        <v>1020</v>
      </c>
      <c r="M12" s="44">
        <f t="shared" si="4"/>
        <v>1050</v>
      </c>
      <c r="N12" s="44">
        <f t="shared" si="4"/>
        <v>1050</v>
      </c>
      <c r="O12" s="44">
        <f t="shared" si="4"/>
        <v>1105</v>
      </c>
      <c r="P12" s="44">
        <f t="shared" si="4"/>
        <v>1105</v>
      </c>
      <c r="Q12" s="44">
        <f t="shared" si="4"/>
        <v>1125</v>
      </c>
      <c r="R12" s="44">
        <f t="shared" si="4"/>
        <v>1150</v>
      </c>
      <c r="S12" s="44">
        <f t="shared" si="4"/>
        <v>1150</v>
      </c>
      <c r="T12" s="2"/>
      <c r="U12" s="2" t="s">
        <v>37</v>
      </c>
    </row>
    <row r="13" spans="1:21" ht="14">
      <c r="A13" s="2"/>
      <c r="B13" s="1" t="s">
        <v>31</v>
      </c>
      <c r="C13" s="2"/>
      <c r="D13" s="2"/>
      <c r="E13" s="44">
        <f t="shared" ref="E13:S13" si="5">E9</f>
        <v>67</v>
      </c>
      <c r="F13" s="44">
        <f t="shared" si="5"/>
        <v>101</v>
      </c>
      <c r="G13" s="44">
        <f t="shared" si="5"/>
        <v>97</v>
      </c>
      <c r="H13" s="44">
        <f t="shared" si="5"/>
        <v>65</v>
      </c>
      <c r="I13" s="59">
        <f t="shared" si="5"/>
        <v>105</v>
      </c>
      <c r="J13" s="64">
        <f t="shared" si="5"/>
        <v>92</v>
      </c>
      <c r="K13" s="64">
        <f t="shared" si="5"/>
        <v>95</v>
      </c>
      <c r="L13" s="64">
        <f t="shared" si="5"/>
        <v>100</v>
      </c>
      <c r="M13" s="64">
        <f t="shared" si="5"/>
        <v>85</v>
      </c>
      <c r="N13" s="64">
        <f t="shared" si="5"/>
        <v>85</v>
      </c>
      <c r="O13" s="64">
        <f t="shared" si="5"/>
        <v>82</v>
      </c>
      <c r="P13" s="64">
        <f t="shared" si="5"/>
        <v>82</v>
      </c>
      <c r="Q13" s="64">
        <f t="shared" si="5"/>
        <v>78</v>
      </c>
      <c r="R13" s="64">
        <f t="shared" si="5"/>
        <v>75</v>
      </c>
      <c r="S13" s="64">
        <f t="shared" si="5"/>
        <v>75</v>
      </c>
      <c r="T13" s="2"/>
      <c r="U13" s="2" t="s">
        <v>38</v>
      </c>
    </row>
    <row r="14" spans="1:21" ht="14">
      <c r="A14" s="2"/>
      <c r="B14" s="1" t="s">
        <v>39</v>
      </c>
      <c r="C14" s="2"/>
      <c r="D14" s="2"/>
      <c r="E14" s="35">
        <f t="shared" ref="E14:S14" si="6">E13/E11</f>
        <v>4.3591411841249188E-3</v>
      </c>
      <c r="F14" s="35">
        <f t="shared" si="6"/>
        <v>6.2046934512839415E-3</v>
      </c>
      <c r="G14" s="35">
        <f t="shared" si="6"/>
        <v>5.6470862199452755E-3</v>
      </c>
      <c r="H14" s="35">
        <f t="shared" si="6"/>
        <v>3.5852178709321566E-3</v>
      </c>
      <c r="I14" s="63">
        <f t="shared" si="6"/>
        <v>5.4962311557788949E-3</v>
      </c>
      <c r="J14" s="35">
        <f t="shared" si="6"/>
        <v>4.603222255578905E-3</v>
      </c>
      <c r="K14" s="35">
        <f t="shared" si="6"/>
        <v>4.554388992760919E-3</v>
      </c>
      <c r="L14" s="35">
        <f t="shared" si="6"/>
        <v>4.5968557506665441E-3</v>
      </c>
      <c r="M14" s="35">
        <f t="shared" si="6"/>
        <v>3.7487871570962335E-3</v>
      </c>
      <c r="N14" s="35">
        <f t="shared" si="6"/>
        <v>3.595752781420534E-3</v>
      </c>
      <c r="O14" s="35">
        <f t="shared" si="6"/>
        <v>3.332791416029914E-3</v>
      </c>
      <c r="P14" s="35">
        <f t="shared" si="6"/>
        <v>3.1997502633940764E-3</v>
      </c>
      <c r="Q14" s="35">
        <f t="shared" si="6"/>
        <v>2.9268292682926829E-3</v>
      </c>
      <c r="R14" s="35">
        <f t="shared" si="6"/>
        <v>2.7078744990432176E-3</v>
      </c>
      <c r="S14" s="35">
        <f t="shared" si="6"/>
        <v>2.6067009592659531E-3</v>
      </c>
      <c r="T14" s="2"/>
      <c r="U14" s="2" t="s">
        <v>40</v>
      </c>
    </row>
    <row r="15" spans="1:21" ht="14">
      <c r="A15" s="2"/>
      <c r="B15" s="47" t="s">
        <v>41</v>
      </c>
      <c r="C15" s="2"/>
      <c r="D15" s="2"/>
      <c r="E15" s="44">
        <f t="shared" ref="E15:S15" si="7">E11+E12-E13</f>
        <v>16278</v>
      </c>
      <c r="F15" s="44">
        <f t="shared" si="7"/>
        <v>17177</v>
      </c>
      <c r="G15" s="44">
        <f t="shared" si="7"/>
        <v>18130</v>
      </c>
      <c r="H15" s="44">
        <f t="shared" si="7"/>
        <v>19104</v>
      </c>
      <c r="I15" s="59">
        <f t="shared" si="7"/>
        <v>19986</v>
      </c>
      <c r="J15" s="64">
        <f t="shared" si="7"/>
        <v>20859</v>
      </c>
      <c r="K15" s="64">
        <f t="shared" si="7"/>
        <v>21754</v>
      </c>
      <c r="L15" s="64">
        <f t="shared" si="7"/>
        <v>22674</v>
      </c>
      <c r="M15" s="64">
        <f t="shared" si="7"/>
        <v>23639</v>
      </c>
      <c r="N15" s="64">
        <f t="shared" si="7"/>
        <v>24604</v>
      </c>
      <c r="O15" s="64">
        <f t="shared" si="7"/>
        <v>25627</v>
      </c>
      <c r="P15" s="64">
        <f t="shared" si="7"/>
        <v>26650</v>
      </c>
      <c r="Q15" s="64">
        <f t="shared" si="7"/>
        <v>27697</v>
      </c>
      <c r="R15" s="64">
        <f t="shared" si="7"/>
        <v>28772</v>
      </c>
      <c r="S15" s="64">
        <f t="shared" si="7"/>
        <v>29847</v>
      </c>
      <c r="T15" s="2"/>
      <c r="U15" s="2" t="s">
        <v>42</v>
      </c>
    </row>
    <row r="16" spans="1:21" ht="14">
      <c r="A16" s="2"/>
      <c r="B16" s="34" t="s">
        <v>43</v>
      </c>
      <c r="C16" s="2"/>
      <c r="D16" s="2"/>
      <c r="E16" s="58" t="s">
        <v>18</v>
      </c>
      <c r="F16" s="35">
        <f t="shared" ref="F16:S16" si="8">(F15-E15)/E15</f>
        <v>5.5227914977269935E-2</v>
      </c>
      <c r="G16" s="35">
        <f t="shared" si="8"/>
        <v>5.5481166676369563E-2</v>
      </c>
      <c r="H16" s="35">
        <f t="shared" si="8"/>
        <v>5.372311086596801E-2</v>
      </c>
      <c r="I16" s="63">
        <f t="shared" si="8"/>
        <v>4.6168341708542712E-2</v>
      </c>
      <c r="J16" s="35">
        <f t="shared" si="8"/>
        <v>4.3680576403482441E-2</v>
      </c>
      <c r="K16" s="35">
        <f t="shared" si="8"/>
        <v>4.2907138405484442E-2</v>
      </c>
      <c r="L16" s="35">
        <f t="shared" si="8"/>
        <v>4.2291072906132203E-2</v>
      </c>
      <c r="M16" s="35">
        <f t="shared" si="8"/>
        <v>4.2559760077621946E-2</v>
      </c>
      <c r="N16" s="35">
        <f t="shared" si="8"/>
        <v>4.0822369812597827E-2</v>
      </c>
      <c r="O16" s="35">
        <f t="shared" si="8"/>
        <v>4.1578605104860999E-2</v>
      </c>
      <c r="P16" s="35">
        <f t="shared" si="8"/>
        <v>3.9918835603074881E-2</v>
      </c>
      <c r="Q16" s="35">
        <f t="shared" si="8"/>
        <v>3.928705440900563E-2</v>
      </c>
      <c r="R16" s="35">
        <f t="shared" si="8"/>
        <v>3.8812867819619457E-2</v>
      </c>
      <c r="S16" s="35">
        <f t="shared" si="8"/>
        <v>3.7362713749478658E-2</v>
      </c>
      <c r="T16" s="6"/>
      <c r="U16" s="6" t="s">
        <v>44</v>
      </c>
    </row>
    <row r="17" spans="1:21" ht="14">
      <c r="A17" s="2"/>
      <c r="B17" s="1" t="s">
        <v>45</v>
      </c>
      <c r="C17" s="2"/>
      <c r="D17" s="2"/>
      <c r="E17" s="44">
        <v>120342</v>
      </c>
      <c r="F17" s="44">
        <v>127056</v>
      </c>
      <c r="G17" s="44">
        <v>134532</v>
      </c>
      <c r="H17" s="44">
        <v>142987</v>
      </c>
      <c r="I17" s="59">
        <v>151095</v>
      </c>
      <c r="J17" s="44">
        <f t="shared" ref="J17:S17" si="9">ROUND(I17*(1+J18), 0)</f>
        <v>160161</v>
      </c>
      <c r="K17" s="44">
        <f t="shared" si="9"/>
        <v>169771</v>
      </c>
      <c r="L17" s="44">
        <f t="shared" si="9"/>
        <v>179957</v>
      </c>
      <c r="M17" s="44">
        <f t="shared" si="9"/>
        <v>191654</v>
      </c>
      <c r="N17" s="44">
        <f t="shared" si="9"/>
        <v>202578</v>
      </c>
      <c r="O17" s="44">
        <f t="shared" si="9"/>
        <v>213517</v>
      </c>
      <c r="P17" s="44">
        <f t="shared" si="9"/>
        <v>224406</v>
      </c>
      <c r="Q17" s="44">
        <f t="shared" si="9"/>
        <v>234729</v>
      </c>
      <c r="R17" s="44">
        <f t="shared" si="9"/>
        <v>244705</v>
      </c>
      <c r="S17" s="44">
        <f t="shared" si="9"/>
        <v>253881</v>
      </c>
    </row>
    <row r="18" spans="1:21" ht="14">
      <c r="A18" s="2"/>
      <c r="B18" s="34" t="s">
        <v>46</v>
      </c>
      <c r="C18" s="2"/>
      <c r="D18" s="2"/>
      <c r="E18" s="53" t="s">
        <v>18</v>
      </c>
      <c r="F18" s="35">
        <v>5.6000000000000001E-2</v>
      </c>
      <c r="G18" s="35">
        <v>5.8999999999999997E-2</v>
      </c>
      <c r="H18" s="35">
        <v>6.3E-2</v>
      </c>
      <c r="I18" s="63">
        <v>5.7000000000000002E-2</v>
      </c>
      <c r="J18" s="35">
        <v>0.06</v>
      </c>
      <c r="K18" s="36">
        <v>0.06</v>
      </c>
      <c r="L18" s="35">
        <v>0.06</v>
      </c>
      <c r="M18" s="35">
        <v>6.5000000000000002E-2</v>
      </c>
      <c r="N18" s="35">
        <v>5.7000000000000002E-2</v>
      </c>
      <c r="O18" s="35">
        <v>5.3999999999999999E-2</v>
      </c>
      <c r="P18" s="35">
        <v>5.0999999999999997E-2</v>
      </c>
      <c r="Q18" s="35">
        <v>4.5999999999999999E-2</v>
      </c>
      <c r="R18" s="35">
        <v>4.2500000000000003E-2</v>
      </c>
      <c r="S18" s="35">
        <v>3.7499999999999999E-2</v>
      </c>
    </row>
    <row r="19" spans="1:21" ht="14">
      <c r="A19" s="2"/>
      <c r="B19" s="1" t="s">
        <v>47</v>
      </c>
      <c r="C19" s="2"/>
      <c r="D19" s="2"/>
      <c r="E19" s="44">
        <f t="shared" ref="E19:S19" si="10">ROUND((E17/E15)*1000, 0)</f>
        <v>7393</v>
      </c>
      <c r="F19" s="44">
        <f t="shared" si="10"/>
        <v>7397</v>
      </c>
      <c r="G19" s="44">
        <f t="shared" si="10"/>
        <v>7420</v>
      </c>
      <c r="H19" s="44">
        <f t="shared" si="10"/>
        <v>7485</v>
      </c>
      <c r="I19" s="59">
        <f t="shared" si="10"/>
        <v>7560</v>
      </c>
      <c r="J19" s="44">
        <f t="shared" si="10"/>
        <v>7678</v>
      </c>
      <c r="K19" s="44">
        <f t="shared" si="10"/>
        <v>7804</v>
      </c>
      <c r="L19" s="44">
        <f t="shared" si="10"/>
        <v>7937</v>
      </c>
      <c r="M19" s="44">
        <f t="shared" si="10"/>
        <v>8108</v>
      </c>
      <c r="N19" s="44">
        <f t="shared" si="10"/>
        <v>8234</v>
      </c>
      <c r="O19" s="44">
        <f t="shared" si="10"/>
        <v>8332</v>
      </c>
      <c r="P19" s="44">
        <f t="shared" si="10"/>
        <v>8420</v>
      </c>
      <c r="Q19" s="44">
        <f t="shared" si="10"/>
        <v>8475</v>
      </c>
      <c r="R19" s="44">
        <f t="shared" si="10"/>
        <v>8505</v>
      </c>
      <c r="S19" s="44">
        <f t="shared" si="10"/>
        <v>8506</v>
      </c>
      <c r="T19" s="31"/>
      <c r="U19" s="31" t="s">
        <v>48</v>
      </c>
    </row>
    <row r="20" spans="1:21" ht="14">
      <c r="A20" s="2"/>
      <c r="B20" s="34" t="s">
        <v>49</v>
      </c>
      <c r="C20" s="2"/>
      <c r="D20" s="2"/>
      <c r="E20" s="53" t="s">
        <v>18</v>
      </c>
      <c r="F20" s="35">
        <f t="shared" ref="F20:S20" si="11">(F19-E19)/E19</f>
        <v>5.4105234681455427E-4</v>
      </c>
      <c r="G20" s="35">
        <f t="shared" si="11"/>
        <v>3.109368662971475E-3</v>
      </c>
      <c r="H20" s="35">
        <f t="shared" si="11"/>
        <v>8.7601078167115903E-3</v>
      </c>
      <c r="I20" s="63">
        <f t="shared" si="11"/>
        <v>1.002004008016032E-2</v>
      </c>
      <c r="J20" s="35">
        <f t="shared" si="11"/>
        <v>1.5608465608465608E-2</v>
      </c>
      <c r="K20" s="35">
        <f t="shared" si="11"/>
        <v>1.6410523573847355E-2</v>
      </c>
      <c r="L20" s="35">
        <f t="shared" si="11"/>
        <v>1.7042542286007177E-2</v>
      </c>
      <c r="M20" s="35">
        <f t="shared" si="11"/>
        <v>2.1544664230817689E-2</v>
      </c>
      <c r="N20" s="35">
        <f t="shared" si="11"/>
        <v>1.5540207202762703E-2</v>
      </c>
      <c r="O20" s="35">
        <f t="shared" si="11"/>
        <v>1.1901870293903327E-2</v>
      </c>
      <c r="P20" s="35">
        <f t="shared" si="11"/>
        <v>1.0561689870379261E-2</v>
      </c>
      <c r="Q20" s="35">
        <f t="shared" si="11"/>
        <v>6.5320665083135393E-3</v>
      </c>
      <c r="R20" s="35">
        <f t="shared" si="11"/>
        <v>3.5398230088495575E-3</v>
      </c>
      <c r="S20" s="35">
        <f t="shared" si="11"/>
        <v>1.1757789535567314E-4</v>
      </c>
      <c r="T20" s="31"/>
      <c r="U20" s="31" t="s">
        <v>50</v>
      </c>
    </row>
    <row r="21" spans="1:21" ht="14">
      <c r="A21" s="2"/>
      <c r="B21" s="1" t="s">
        <v>51</v>
      </c>
      <c r="C21" s="2"/>
      <c r="D21" s="2"/>
      <c r="E21" s="44">
        <v>237</v>
      </c>
      <c r="F21" s="44">
        <v>273</v>
      </c>
      <c r="G21" s="44">
        <v>262</v>
      </c>
      <c r="H21" s="44">
        <v>273</v>
      </c>
      <c r="I21" s="59">
        <v>264</v>
      </c>
      <c r="J21" s="44">
        <v>265</v>
      </c>
      <c r="K21" s="44">
        <v>265</v>
      </c>
      <c r="L21" s="44">
        <v>265</v>
      </c>
      <c r="M21" s="44">
        <v>265</v>
      </c>
      <c r="N21" s="44">
        <v>265</v>
      </c>
      <c r="O21" s="44">
        <v>268</v>
      </c>
      <c r="P21" s="44">
        <v>268</v>
      </c>
      <c r="Q21" s="44">
        <v>268</v>
      </c>
      <c r="R21" s="44">
        <v>270</v>
      </c>
      <c r="S21" s="44">
        <v>270</v>
      </c>
    </row>
    <row r="22" spans="1:21" ht="14">
      <c r="A22" s="2"/>
      <c r="B22" s="34" t="s">
        <v>52</v>
      </c>
      <c r="C22" s="2"/>
      <c r="D22" s="2"/>
      <c r="E22" s="58" t="s">
        <v>18</v>
      </c>
      <c r="F22" s="35">
        <f t="shared" ref="F22:S22" si="12">(F21-E21)/E21</f>
        <v>0.15189873417721519</v>
      </c>
      <c r="G22" s="35">
        <f t="shared" si="12"/>
        <v>-4.0293040293040296E-2</v>
      </c>
      <c r="H22" s="35">
        <f t="shared" si="12"/>
        <v>4.1984732824427481E-2</v>
      </c>
      <c r="I22" s="63">
        <f t="shared" si="12"/>
        <v>-3.2967032967032968E-2</v>
      </c>
      <c r="J22" s="35">
        <f t="shared" si="12"/>
        <v>3.787878787878788E-3</v>
      </c>
      <c r="K22" s="35">
        <f t="shared" si="12"/>
        <v>0</v>
      </c>
      <c r="L22" s="35">
        <f t="shared" si="12"/>
        <v>0</v>
      </c>
      <c r="M22" s="35">
        <f t="shared" si="12"/>
        <v>0</v>
      </c>
      <c r="N22" s="35">
        <f t="shared" si="12"/>
        <v>0</v>
      </c>
      <c r="O22" s="35">
        <f t="shared" si="12"/>
        <v>1.1320754716981131E-2</v>
      </c>
      <c r="P22" s="35">
        <f t="shared" si="12"/>
        <v>0</v>
      </c>
      <c r="Q22" s="35">
        <f t="shared" si="12"/>
        <v>0</v>
      </c>
      <c r="R22" s="35">
        <f t="shared" si="12"/>
        <v>7.462686567164179E-3</v>
      </c>
      <c r="S22" s="35">
        <f t="shared" si="12"/>
        <v>0</v>
      </c>
    </row>
    <row r="23" spans="1:21" ht="14">
      <c r="A23" s="2"/>
      <c r="B23" s="47" t="s">
        <v>53</v>
      </c>
      <c r="C23" s="2"/>
      <c r="D23" s="2"/>
      <c r="E23" s="48"/>
      <c r="F23" s="48"/>
      <c r="G23" s="48"/>
      <c r="H23" s="48"/>
      <c r="I23" s="65"/>
      <c r="J23" s="66">
        <f t="shared" ref="J23:S23" si="13">J19*J15*J21</f>
        <v>42441181530</v>
      </c>
      <c r="K23" s="66">
        <f t="shared" si="13"/>
        <v>44988577240</v>
      </c>
      <c r="L23" s="66">
        <f t="shared" si="13"/>
        <v>47690337570</v>
      </c>
      <c r="M23" s="66">
        <f t="shared" si="13"/>
        <v>50791228180</v>
      </c>
      <c r="N23" s="66">
        <f t="shared" si="13"/>
        <v>53686174040</v>
      </c>
      <c r="O23" s="66">
        <f t="shared" si="13"/>
        <v>57224475952</v>
      </c>
      <c r="P23" s="66">
        <f t="shared" si="13"/>
        <v>60137324000</v>
      </c>
      <c r="Q23" s="66">
        <f t="shared" si="13"/>
        <v>62908196100</v>
      </c>
      <c r="R23" s="66">
        <f t="shared" si="13"/>
        <v>66070582200</v>
      </c>
      <c r="S23" s="66">
        <f t="shared" si="13"/>
        <v>68547217140</v>
      </c>
      <c r="T23" s="1"/>
      <c r="U23" s="1"/>
    </row>
    <row r="24" spans="1:21" ht="14">
      <c r="A24" s="2"/>
      <c r="O24" s="44"/>
      <c r="P24" s="44"/>
      <c r="Q24" s="44"/>
      <c r="R24" s="44"/>
      <c r="S24" s="44"/>
      <c r="T24" s="67"/>
      <c r="U24" s="67"/>
    </row>
    <row r="25" spans="1:21" ht="14">
      <c r="A25" s="2"/>
      <c r="O25" s="44"/>
      <c r="P25" s="44"/>
      <c r="Q25" s="44"/>
      <c r="R25" s="44"/>
      <c r="S25" s="44"/>
      <c r="T25" s="2"/>
      <c r="U25" s="2"/>
    </row>
    <row r="26" spans="1:21" ht="13">
      <c r="A26" s="2"/>
      <c r="B26" s="2"/>
      <c r="C26" s="2"/>
      <c r="D26" s="2"/>
      <c r="E26" s="2"/>
      <c r="F26" s="2"/>
      <c r="G26" s="2"/>
      <c r="H26" s="2"/>
      <c r="I26" s="2"/>
      <c r="J26" s="2"/>
      <c r="K26" s="2"/>
      <c r="L26" s="2"/>
      <c r="M26" s="2"/>
      <c r="N26" s="2"/>
      <c r="O26" s="2"/>
      <c r="P26" s="2"/>
      <c r="Q26" s="2"/>
      <c r="R26" s="2"/>
      <c r="T26" s="2"/>
      <c r="U26" s="2"/>
    </row>
    <row r="27" spans="1:21" ht="13">
      <c r="A27" s="2"/>
      <c r="B27" s="2"/>
      <c r="C27" s="2"/>
      <c r="D27" s="2"/>
      <c r="E27" s="2"/>
      <c r="F27" s="2"/>
      <c r="G27" s="2"/>
      <c r="H27" s="2"/>
      <c r="I27" s="2"/>
      <c r="J27" s="2"/>
      <c r="K27" s="2"/>
      <c r="L27" s="2"/>
      <c r="M27" s="2"/>
      <c r="N27" s="2"/>
      <c r="O27" s="2"/>
      <c r="P27" s="2"/>
      <c r="Q27" s="2"/>
      <c r="R27" s="2"/>
      <c r="T27" s="2"/>
      <c r="U27" s="2"/>
    </row>
    <row r="28" spans="1:21" ht="14">
      <c r="A28" s="2"/>
      <c r="B28" s="47" t="s">
        <v>54</v>
      </c>
      <c r="C28" s="2"/>
      <c r="D28" s="2"/>
      <c r="E28" s="51">
        <v>27754</v>
      </c>
      <c r="F28" s="51">
        <v>33746.800000000003</v>
      </c>
      <c r="G28" s="51">
        <v>34220.400000000001</v>
      </c>
      <c r="H28" s="52">
        <v>37844.9</v>
      </c>
      <c r="I28" s="52">
        <v>38691.599999999999</v>
      </c>
      <c r="J28" s="51">
        <f t="shared" ref="J28:S28" si="14">J23/1000000</f>
        <v>42441.181530000002</v>
      </c>
      <c r="K28" s="51">
        <f t="shared" si="14"/>
        <v>44988.577239999999</v>
      </c>
      <c r="L28" s="51">
        <f t="shared" si="14"/>
        <v>47690.337570000003</v>
      </c>
      <c r="M28" s="52">
        <f t="shared" si="14"/>
        <v>50791.228179999998</v>
      </c>
      <c r="N28" s="52">
        <f t="shared" si="14"/>
        <v>53686.174039999998</v>
      </c>
      <c r="O28" s="52">
        <f t="shared" si="14"/>
        <v>57224.475952000001</v>
      </c>
      <c r="P28" s="52">
        <f t="shared" si="14"/>
        <v>60137.324000000001</v>
      </c>
      <c r="Q28" s="52">
        <f t="shared" si="14"/>
        <v>62908.196100000001</v>
      </c>
      <c r="R28" s="52">
        <f t="shared" si="14"/>
        <v>66070.582200000004</v>
      </c>
      <c r="S28" s="52">
        <f t="shared" si="14"/>
        <v>68547.217139999993</v>
      </c>
      <c r="T28" s="2"/>
      <c r="U28" s="2"/>
    </row>
    <row r="29" spans="1:21" ht="14">
      <c r="A29" s="2"/>
      <c r="B29" s="34" t="s">
        <v>55</v>
      </c>
      <c r="C29" s="2"/>
      <c r="D29" s="2"/>
      <c r="E29" s="53" t="s">
        <v>18</v>
      </c>
      <c r="F29" s="35">
        <f t="shared" ref="F29:S29" si="15">(F28-E28)/E28</f>
        <v>0.21592563234128426</v>
      </c>
      <c r="G29" s="35">
        <f t="shared" si="15"/>
        <v>1.4033923216423438E-2</v>
      </c>
      <c r="H29" s="35">
        <f t="shared" si="15"/>
        <v>0.10591635398767986</v>
      </c>
      <c r="I29" s="35">
        <f t="shared" si="15"/>
        <v>2.2372895687397695E-2</v>
      </c>
      <c r="J29" s="35">
        <f t="shared" si="15"/>
        <v>9.6909446236392485E-2</v>
      </c>
      <c r="K29" s="35">
        <f t="shared" si="15"/>
        <v>6.0021790585621258E-2</v>
      </c>
      <c r="L29" s="35">
        <f t="shared" si="15"/>
        <v>6.0054362590462859E-2</v>
      </c>
      <c r="M29" s="35">
        <f t="shared" si="15"/>
        <v>6.5021360049056051E-2</v>
      </c>
      <c r="N29" s="35">
        <f t="shared" si="15"/>
        <v>5.6996965100756102E-2</v>
      </c>
      <c r="O29" s="35">
        <f t="shared" si="15"/>
        <v>6.5907134849350915E-2</v>
      </c>
      <c r="P29" s="35">
        <f t="shared" si="15"/>
        <v>5.0902135835080471E-2</v>
      </c>
      <c r="Q29" s="35">
        <f t="shared" si="15"/>
        <v>4.6075746569634535E-2</v>
      </c>
      <c r="R29" s="35">
        <f t="shared" si="15"/>
        <v>5.0269858238710538E-2</v>
      </c>
      <c r="S29" s="35">
        <f t="shared" si="15"/>
        <v>3.7484684674081607E-2</v>
      </c>
      <c r="T29" s="67"/>
      <c r="U29" s="67"/>
    </row>
    <row r="30" spans="1:21" ht="14">
      <c r="A30" s="2"/>
      <c r="B30" s="60" t="s">
        <v>56</v>
      </c>
      <c r="C30" s="2"/>
      <c r="D30" s="2"/>
      <c r="E30" s="68">
        <f t="shared" ref="E30:S30" si="16">(1-0.32)*E28</f>
        <v>18872.719999999998</v>
      </c>
      <c r="F30" s="68">
        <f t="shared" si="16"/>
        <v>22947.824000000001</v>
      </c>
      <c r="G30" s="68">
        <f t="shared" si="16"/>
        <v>23269.871999999999</v>
      </c>
      <c r="H30" s="68">
        <f t="shared" si="16"/>
        <v>25734.531999999999</v>
      </c>
      <c r="I30" s="68">
        <f t="shared" si="16"/>
        <v>26310.287999999997</v>
      </c>
      <c r="J30" s="68">
        <f t="shared" si="16"/>
        <v>28860.0034404</v>
      </c>
      <c r="K30" s="68">
        <f t="shared" si="16"/>
        <v>30592.232523199997</v>
      </c>
      <c r="L30" s="68">
        <f t="shared" si="16"/>
        <v>32429.429547600001</v>
      </c>
      <c r="M30" s="68">
        <f t="shared" si="16"/>
        <v>34538.035162399996</v>
      </c>
      <c r="N30" s="68">
        <f t="shared" si="16"/>
        <v>36506.598347199993</v>
      </c>
      <c r="O30" s="68">
        <f t="shared" si="16"/>
        <v>38912.643647359997</v>
      </c>
      <c r="P30" s="68">
        <f t="shared" si="16"/>
        <v>40893.380319999997</v>
      </c>
      <c r="Q30" s="68">
        <f t="shared" si="16"/>
        <v>42777.573347999998</v>
      </c>
      <c r="R30" s="68">
        <f t="shared" si="16"/>
        <v>44927.995896</v>
      </c>
      <c r="S30" s="68">
        <f t="shared" si="16"/>
        <v>46612.107655199994</v>
      </c>
      <c r="T30" s="2"/>
      <c r="U30" s="2"/>
    </row>
    <row r="31" spans="1:21" ht="14">
      <c r="A31" s="2"/>
      <c r="B31" s="47" t="s">
        <v>57</v>
      </c>
      <c r="C31" s="2"/>
      <c r="D31" s="2"/>
      <c r="E31" s="2"/>
      <c r="F31" s="2"/>
      <c r="G31" s="2"/>
      <c r="H31" s="2"/>
      <c r="I31" s="2"/>
      <c r="J31" s="2"/>
      <c r="K31" s="2"/>
      <c r="L31" s="2"/>
      <c r="M31" s="2"/>
      <c r="N31" s="2"/>
      <c r="O31" s="2"/>
      <c r="P31" s="2"/>
      <c r="Q31" s="2"/>
      <c r="R31" s="2"/>
      <c r="T31" s="2"/>
      <c r="U31" s="2"/>
    </row>
    <row r="32" spans="1:21" ht="14">
      <c r="A32" s="2"/>
      <c r="B32" s="1" t="s">
        <v>58</v>
      </c>
      <c r="C32" s="2"/>
      <c r="D32" s="2"/>
      <c r="E32" s="56">
        <v>0.78</v>
      </c>
      <c r="F32" s="56">
        <v>0.76800000000000002</v>
      </c>
      <c r="G32" s="56">
        <v>0.76700000000000002</v>
      </c>
      <c r="H32" s="56">
        <v>0.79700000000000004</v>
      </c>
      <c r="I32" s="56">
        <v>0.81</v>
      </c>
      <c r="J32" s="57">
        <v>0.81</v>
      </c>
      <c r="K32" s="57">
        <v>0.81</v>
      </c>
      <c r="L32" s="56">
        <v>0.81499999999999995</v>
      </c>
      <c r="M32" s="56">
        <v>0.81499999999999995</v>
      </c>
      <c r="N32" s="56">
        <v>0.82</v>
      </c>
      <c r="O32" s="2"/>
      <c r="P32" s="2"/>
      <c r="Q32" s="2"/>
      <c r="R32" s="2"/>
      <c r="T32" s="67"/>
      <c r="U32" s="67"/>
    </row>
    <row r="33" spans="1:21" ht="14">
      <c r="A33" s="2"/>
      <c r="B33" s="34" t="s">
        <v>59</v>
      </c>
      <c r="C33" s="2"/>
      <c r="D33" s="2"/>
      <c r="E33" s="58" t="s">
        <v>18</v>
      </c>
      <c r="F33" s="36">
        <f t="shared" ref="F33:N33" si="17">(F32-E32)/E32</f>
        <v>-1.5384615384615398E-2</v>
      </c>
      <c r="G33" s="36">
        <f t="shared" si="17"/>
        <v>-1.3020833333333346E-3</v>
      </c>
      <c r="H33" s="36">
        <f t="shared" si="17"/>
        <v>3.9113428943937455E-2</v>
      </c>
      <c r="I33" s="36">
        <f t="shared" si="17"/>
        <v>1.6311166875784204E-2</v>
      </c>
      <c r="J33" s="36">
        <f t="shared" si="17"/>
        <v>0</v>
      </c>
      <c r="K33" s="36">
        <f t="shared" si="17"/>
        <v>0</v>
      </c>
      <c r="L33" s="36">
        <f t="shared" si="17"/>
        <v>6.1728395061727073E-3</v>
      </c>
      <c r="M33" s="36">
        <f t="shared" si="17"/>
        <v>0</v>
      </c>
      <c r="N33" s="36">
        <f t="shared" si="17"/>
        <v>6.1349693251533804E-3</v>
      </c>
      <c r="O33" s="2"/>
      <c r="P33" s="2"/>
      <c r="Q33" s="2"/>
      <c r="R33" s="2"/>
      <c r="T33" s="2"/>
      <c r="U33" s="2"/>
    </row>
    <row r="34" spans="1:21" ht="14">
      <c r="A34" s="2"/>
      <c r="B34" s="1" t="s">
        <v>60</v>
      </c>
      <c r="C34" s="2"/>
      <c r="D34" s="2"/>
      <c r="E34" s="56">
        <v>0.11700000000000001</v>
      </c>
      <c r="F34" s="56">
        <v>0.121</v>
      </c>
      <c r="G34" s="56">
        <v>0.122</v>
      </c>
      <c r="H34" s="56">
        <v>0.11</v>
      </c>
      <c r="I34" s="56">
        <v>0.106</v>
      </c>
      <c r="J34" s="56">
        <v>0.105</v>
      </c>
      <c r="K34" s="56">
        <v>0.105</v>
      </c>
      <c r="L34" s="57">
        <v>0.1</v>
      </c>
      <c r="M34" s="57">
        <v>0.1</v>
      </c>
      <c r="N34" s="56">
        <v>9.5000000000000001E-2</v>
      </c>
      <c r="O34" s="2"/>
      <c r="P34" s="2"/>
      <c r="Q34" s="2"/>
      <c r="R34" s="2"/>
      <c r="T34" s="2"/>
      <c r="U34" s="2"/>
    </row>
    <row r="35" spans="1:21" ht="14">
      <c r="A35" s="2"/>
      <c r="B35" s="34" t="s">
        <v>61</v>
      </c>
      <c r="C35" s="2"/>
      <c r="D35" s="2"/>
      <c r="E35" s="58" t="s">
        <v>18</v>
      </c>
      <c r="F35" s="36">
        <f t="shared" ref="F35:N35" si="18">(F34-E34)/E34</f>
        <v>3.4188034188034101E-2</v>
      </c>
      <c r="G35" s="36">
        <f t="shared" si="18"/>
        <v>8.2644628099173625E-3</v>
      </c>
      <c r="H35" s="36">
        <f t="shared" si="18"/>
        <v>-9.8360655737704888E-2</v>
      </c>
      <c r="I35" s="36">
        <f t="shared" si="18"/>
        <v>-3.6363636363636397E-2</v>
      </c>
      <c r="J35" s="36">
        <f t="shared" si="18"/>
        <v>-9.4339622641509517E-3</v>
      </c>
      <c r="K35" s="36">
        <f t="shared" si="18"/>
        <v>0</v>
      </c>
      <c r="L35" s="36">
        <f t="shared" si="18"/>
        <v>-4.7619047619047533E-2</v>
      </c>
      <c r="M35" s="36">
        <f t="shared" si="18"/>
        <v>0</v>
      </c>
      <c r="N35" s="36">
        <f t="shared" si="18"/>
        <v>-5.0000000000000044E-2</v>
      </c>
      <c r="O35" s="2"/>
      <c r="P35" s="2"/>
      <c r="Q35" s="2"/>
      <c r="R35" s="2"/>
      <c r="T35" s="2"/>
      <c r="U35" s="2"/>
    </row>
    <row r="36" spans="1:21" ht="14">
      <c r="A36" s="2"/>
      <c r="B36" s="1" t="s">
        <v>62</v>
      </c>
      <c r="C36" s="2"/>
      <c r="D36" s="2"/>
      <c r="E36" s="56">
        <v>5.8000000000000003E-2</v>
      </c>
      <c r="F36" s="56">
        <v>6.5000000000000002E-2</v>
      </c>
      <c r="G36" s="56">
        <v>6.8000000000000005E-2</v>
      </c>
      <c r="H36" s="56">
        <v>6.2E-2</v>
      </c>
      <c r="I36" s="56">
        <v>5.6000000000000001E-2</v>
      </c>
      <c r="J36" s="56">
        <v>5.5E-2</v>
      </c>
      <c r="K36" s="56">
        <v>5.5E-2</v>
      </c>
      <c r="L36" s="56">
        <v>5.2999999999999999E-2</v>
      </c>
      <c r="M36" s="56">
        <v>5.0999999999999997E-2</v>
      </c>
      <c r="N36" s="56">
        <v>5.0999999999999997E-2</v>
      </c>
      <c r="O36" s="2"/>
      <c r="P36" s="60"/>
      <c r="Q36" s="2"/>
      <c r="R36" s="2"/>
    </row>
    <row r="37" spans="1:21" ht="14">
      <c r="A37" s="2"/>
      <c r="B37" s="34" t="s">
        <v>63</v>
      </c>
      <c r="C37" s="2"/>
      <c r="D37" s="2"/>
      <c r="E37" s="58" t="s">
        <v>18</v>
      </c>
      <c r="F37" s="36">
        <f t="shared" ref="F37:N37" si="19">(F36-E36)/E36</f>
        <v>0.12068965517241377</v>
      </c>
      <c r="G37" s="36">
        <f t="shared" si="19"/>
        <v>4.6153846153846191E-2</v>
      </c>
      <c r="H37" s="36">
        <f t="shared" si="19"/>
        <v>-8.8235294117647134E-2</v>
      </c>
      <c r="I37" s="36">
        <f t="shared" si="19"/>
        <v>-9.6774193548387066E-2</v>
      </c>
      <c r="J37" s="36">
        <f t="shared" si="19"/>
        <v>-1.7857142857142873E-2</v>
      </c>
      <c r="K37" s="36">
        <f t="shared" si="19"/>
        <v>0</v>
      </c>
      <c r="L37" s="36">
        <f t="shared" si="19"/>
        <v>-3.6363636363636397E-2</v>
      </c>
      <c r="M37" s="36">
        <f t="shared" si="19"/>
        <v>-3.7735849056603807E-2</v>
      </c>
      <c r="N37" s="36">
        <f t="shared" si="19"/>
        <v>0</v>
      </c>
      <c r="O37" s="2"/>
      <c r="P37" s="2"/>
      <c r="Q37" s="2"/>
      <c r="R37" s="2"/>
    </row>
    <row r="38" spans="1:21" ht="14">
      <c r="A38" s="2"/>
      <c r="B38" s="1" t="s">
        <v>64</v>
      </c>
      <c r="C38" s="2"/>
      <c r="D38" s="2"/>
      <c r="E38" s="56">
        <v>4.4999999999999998E-2</v>
      </c>
      <c r="F38" s="56">
        <v>4.5999999999999999E-2</v>
      </c>
      <c r="G38" s="56">
        <v>4.2999999999999997E-2</v>
      </c>
      <c r="H38" s="56">
        <v>3.1E-2</v>
      </c>
      <c r="I38" s="56">
        <v>2.8000000000000001E-2</v>
      </c>
      <c r="J38" s="56">
        <f t="shared" ref="J38:N38" si="20">1-J36-J34-J32</f>
        <v>2.9999999999999916E-2</v>
      </c>
      <c r="K38" s="56">
        <f t="shared" si="20"/>
        <v>2.9999999999999916E-2</v>
      </c>
      <c r="L38" s="56">
        <f t="shared" si="20"/>
        <v>3.2000000000000028E-2</v>
      </c>
      <c r="M38" s="56">
        <f t="shared" si="20"/>
        <v>3.400000000000003E-2</v>
      </c>
      <c r="N38" s="56">
        <f t="shared" si="20"/>
        <v>3.400000000000003E-2</v>
      </c>
      <c r="O38" s="2"/>
      <c r="P38" s="2"/>
      <c r="Q38" s="2"/>
      <c r="R38" s="2"/>
    </row>
    <row r="39" spans="1:21" ht="14">
      <c r="A39" s="2"/>
      <c r="B39" s="34" t="s">
        <v>65</v>
      </c>
      <c r="C39" s="2"/>
      <c r="D39" s="2"/>
      <c r="E39" s="53" t="s">
        <v>18</v>
      </c>
      <c r="F39" s="36">
        <f t="shared" ref="F39:N39" si="21">(F38-E38)/E38</f>
        <v>2.2222222222222244E-2</v>
      </c>
      <c r="G39" s="36">
        <f t="shared" si="21"/>
        <v>-6.521739130434788E-2</v>
      </c>
      <c r="H39" s="36">
        <f t="shared" si="21"/>
        <v>-0.27906976744186041</v>
      </c>
      <c r="I39" s="36">
        <f t="shared" si="21"/>
        <v>-9.6774193548387066E-2</v>
      </c>
      <c r="J39" s="36">
        <f t="shared" si="21"/>
        <v>7.1428571428568399E-2</v>
      </c>
      <c r="K39" s="36">
        <f t="shared" si="21"/>
        <v>0</v>
      </c>
      <c r="L39" s="36">
        <f t="shared" si="21"/>
        <v>6.6666666666670621E-2</v>
      </c>
      <c r="M39" s="36">
        <f t="shared" si="21"/>
        <v>6.25E-2</v>
      </c>
      <c r="N39" s="36">
        <f t="shared" si="21"/>
        <v>0</v>
      </c>
      <c r="O39" s="2"/>
      <c r="P39" s="2"/>
      <c r="Q39" s="2"/>
      <c r="R39" s="2"/>
    </row>
    <row r="40" spans="1:21" ht="13">
      <c r="P40" s="2"/>
    </row>
    <row r="41" spans="1:21" ht="13">
      <c r="P41" s="2"/>
    </row>
    <row r="42" spans="1:21" ht="13">
      <c r="P42" s="2"/>
    </row>
    <row r="43" spans="1:21" ht="13">
      <c r="P43" s="2"/>
    </row>
    <row r="44" spans="1:21" ht="13">
      <c r="P44" s="2"/>
    </row>
    <row r="45" spans="1:21" ht="13">
      <c r="P45" s="2"/>
    </row>
    <row r="46" spans="1:21" ht="13">
      <c r="P46" s="46"/>
    </row>
  </sheetData>
  <mergeCells count="3">
    <mergeCell ref="E2:S2"/>
    <mergeCell ref="E3:I3"/>
    <mergeCell ref="J3:S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3"/>
  <sheetViews>
    <sheetView showGridLines="0" workbookViewId="0"/>
  </sheetViews>
  <sheetFormatPr baseColWidth="10" defaultColWidth="12.6640625" defaultRowHeight="15.75" customHeight="1"/>
  <cols>
    <col min="1" max="1" width="16.83203125" customWidth="1"/>
    <col min="2" max="2" width="28.1640625" customWidth="1"/>
  </cols>
  <sheetData>
    <row r="1" spans="1:27" ht="15">
      <c r="A1" s="69"/>
      <c r="B1" s="69"/>
      <c r="C1" s="4"/>
      <c r="D1" s="4"/>
      <c r="E1" s="4"/>
      <c r="F1" s="4"/>
      <c r="G1" s="4"/>
      <c r="H1" s="4"/>
      <c r="I1" s="4"/>
      <c r="J1" s="4"/>
      <c r="K1" s="4"/>
      <c r="L1" s="4"/>
      <c r="M1" s="5"/>
      <c r="N1" s="5"/>
      <c r="O1" s="5"/>
      <c r="P1" s="5"/>
      <c r="Q1" s="5"/>
      <c r="R1" s="5"/>
      <c r="S1" s="5"/>
      <c r="T1" s="70"/>
      <c r="U1" s="70"/>
      <c r="V1" s="70"/>
      <c r="W1" s="70"/>
      <c r="X1" s="70"/>
      <c r="Y1" s="70"/>
      <c r="Z1" s="70"/>
      <c r="AA1" s="70"/>
    </row>
    <row r="2" spans="1:27" ht="15">
      <c r="A2" s="69"/>
      <c r="B2" s="71" t="s">
        <v>66</v>
      </c>
      <c r="C2" s="205" t="s">
        <v>2</v>
      </c>
      <c r="D2" s="206"/>
      <c r="E2" s="206"/>
      <c r="F2" s="206"/>
      <c r="G2" s="206"/>
      <c r="H2" s="205" t="s">
        <v>3</v>
      </c>
      <c r="I2" s="206"/>
      <c r="J2" s="206"/>
      <c r="K2" s="206"/>
      <c r="L2" s="206"/>
      <c r="M2" s="72"/>
      <c r="N2" s="72"/>
      <c r="O2" s="72"/>
      <c r="P2" s="72"/>
      <c r="Q2" s="72"/>
      <c r="R2" s="2"/>
      <c r="S2" s="2"/>
    </row>
    <row r="3" spans="1:27" ht="14">
      <c r="A3" s="69"/>
      <c r="B3" s="71" t="s">
        <v>4</v>
      </c>
      <c r="C3" s="73">
        <v>2019</v>
      </c>
      <c r="D3" s="73">
        <v>2020</v>
      </c>
      <c r="E3" s="73">
        <v>2021</v>
      </c>
      <c r="F3" s="73">
        <v>2022</v>
      </c>
      <c r="G3" s="74">
        <v>2023</v>
      </c>
      <c r="H3" s="73">
        <v>2024</v>
      </c>
      <c r="I3" s="73">
        <v>2025</v>
      </c>
      <c r="J3" s="73">
        <v>2026</v>
      </c>
      <c r="K3" s="73">
        <v>2027</v>
      </c>
      <c r="L3" s="73">
        <v>2028</v>
      </c>
      <c r="M3" s="1">
        <v>2029</v>
      </c>
      <c r="N3" s="75">
        <v>2030</v>
      </c>
      <c r="O3" s="1">
        <v>2031</v>
      </c>
      <c r="P3" s="1">
        <v>2032</v>
      </c>
      <c r="Q3" s="44">
        <v>2033</v>
      </c>
      <c r="R3" s="2"/>
      <c r="S3" s="2"/>
    </row>
    <row r="4" spans="1:27" ht="15.75" customHeight="1">
      <c r="A4" s="69"/>
      <c r="B4" s="71" t="s">
        <v>67</v>
      </c>
      <c r="C4" s="51">
        <f>'Revenue Build (Base Case)'!E28</f>
        <v>27754</v>
      </c>
      <c r="D4" s="51">
        <f>'Revenue Build (Base Case)'!F28</f>
        <v>33746.800000000003</v>
      </c>
      <c r="E4" s="51">
        <f>'Revenue Build (Base Case)'!G28</f>
        <v>34220.400000000001</v>
      </c>
      <c r="F4" s="51">
        <f>'Revenue Build (Base Case)'!H28</f>
        <v>37844.9</v>
      </c>
      <c r="G4" s="76">
        <f>'Revenue Build (Base Case)'!I28</f>
        <v>38691.599999999999</v>
      </c>
      <c r="H4" s="77">
        <f>'Revenue Build (Base Case)'!J28</f>
        <v>42441.181530000002</v>
      </c>
      <c r="I4" s="77">
        <f>'Revenue Build (Base Case)'!K28</f>
        <v>44988.577239999999</v>
      </c>
      <c r="J4" s="77">
        <f>'Revenue Build (Base Case)'!L28</f>
        <v>47690.337570000003</v>
      </c>
      <c r="K4" s="77">
        <f>'Revenue Build (Base Case)'!M28</f>
        <v>50791.228179999998</v>
      </c>
      <c r="L4" s="77">
        <f>'Revenue Build (Base Case)'!N28</f>
        <v>53686.174039999998</v>
      </c>
      <c r="M4" s="77">
        <f>'Revenue Build (Base Case)'!O28</f>
        <v>57224.475952000001</v>
      </c>
      <c r="N4" s="77">
        <f>'Revenue Build (Base Case)'!P28</f>
        <v>60137.324000000001</v>
      </c>
      <c r="O4" s="77">
        <f>'Revenue Build (Base Case)'!Q28</f>
        <v>62908.196100000001</v>
      </c>
      <c r="P4" s="78">
        <f>'Revenue Build (Base Case)'!R28</f>
        <v>66070.582200000004</v>
      </c>
      <c r="Q4" s="78">
        <f>'Revenue Build (Base Case)'!S28</f>
        <v>68547.217139999993</v>
      </c>
      <c r="R4" s="79"/>
      <c r="S4" s="79"/>
    </row>
    <row r="5" spans="1:27" ht="15.75" customHeight="1">
      <c r="A5" s="80"/>
      <c r="B5" s="81" t="s">
        <v>68</v>
      </c>
      <c r="C5" s="82">
        <v>8.3000000000000004E-2</v>
      </c>
      <c r="D5" s="82">
        <v>0.216</v>
      </c>
      <c r="E5" s="82">
        <v>1.4E-2</v>
      </c>
      <c r="F5" s="82">
        <v>0.106</v>
      </c>
      <c r="G5" s="83">
        <v>2.1999999999999999E-2</v>
      </c>
      <c r="H5" s="84">
        <f t="shared" ref="H5:Q5" si="0">(H4-G4)/G4</f>
        <v>9.6909446236392485E-2</v>
      </c>
      <c r="I5" s="84">
        <f t="shared" si="0"/>
        <v>6.0021790585621258E-2</v>
      </c>
      <c r="J5" s="84">
        <f t="shared" si="0"/>
        <v>6.0054362590462859E-2</v>
      </c>
      <c r="K5" s="84">
        <f t="shared" si="0"/>
        <v>6.5021360049056051E-2</v>
      </c>
      <c r="L5" s="84">
        <f t="shared" si="0"/>
        <v>5.6996965100756102E-2</v>
      </c>
      <c r="M5" s="84">
        <f t="shared" si="0"/>
        <v>6.5907134849350915E-2</v>
      </c>
      <c r="N5" s="84">
        <f t="shared" si="0"/>
        <v>5.0902135835080471E-2</v>
      </c>
      <c r="O5" s="84">
        <f t="shared" si="0"/>
        <v>4.6075746569634535E-2</v>
      </c>
      <c r="P5" s="84">
        <f t="shared" si="0"/>
        <v>5.0269858238710538E-2</v>
      </c>
      <c r="Q5" s="84">
        <f t="shared" si="0"/>
        <v>3.7484684674081607E-2</v>
      </c>
      <c r="R5" s="55"/>
      <c r="S5" s="55"/>
    </row>
    <row r="6" spans="1:27" ht="15.75" customHeight="1">
      <c r="A6" s="69"/>
      <c r="B6" s="71" t="s">
        <v>69</v>
      </c>
      <c r="C6" s="51">
        <v>2336.9</v>
      </c>
      <c r="D6" s="51">
        <v>3557.5</v>
      </c>
      <c r="E6" s="51">
        <v>3223.3</v>
      </c>
      <c r="F6" s="51">
        <v>3330.4</v>
      </c>
      <c r="G6" s="76">
        <v>2453</v>
      </c>
      <c r="H6" s="77">
        <f t="shared" ref="H6:Q6" si="1">H7*H4</f>
        <v>2835.070926204</v>
      </c>
      <c r="I6" s="77">
        <f t="shared" si="1"/>
        <v>3230.179845832</v>
      </c>
      <c r="J6" s="77">
        <f t="shared" si="1"/>
        <v>3567.2372502360004</v>
      </c>
      <c r="K6" s="77">
        <f t="shared" si="1"/>
        <v>3799.1838678640001</v>
      </c>
      <c r="L6" s="77">
        <f t="shared" si="1"/>
        <v>4123.0981662720005</v>
      </c>
      <c r="M6" s="77">
        <f t="shared" si="1"/>
        <v>4566.5131809695995</v>
      </c>
      <c r="N6" s="77">
        <f t="shared" si="1"/>
        <v>4798.9584551999997</v>
      </c>
      <c r="O6" s="77">
        <f t="shared" si="1"/>
        <v>5020.0740487799994</v>
      </c>
      <c r="P6" s="77">
        <f t="shared" si="1"/>
        <v>5206.361877360001</v>
      </c>
      <c r="Q6" s="77">
        <f t="shared" si="1"/>
        <v>5470.0679277719992</v>
      </c>
      <c r="R6" s="85"/>
      <c r="S6" s="79"/>
    </row>
    <row r="7" spans="1:27" ht="15.75" customHeight="1">
      <c r="A7" s="80"/>
      <c r="B7" s="81" t="s">
        <v>70</v>
      </c>
      <c r="C7" s="82">
        <v>8.4000000000000005E-2</v>
      </c>
      <c r="D7" s="82">
        <v>0.105</v>
      </c>
      <c r="E7" s="82">
        <v>9.4E-2</v>
      </c>
      <c r="F7" s="82">
        <v>8.7999999999999995E-2</v>
      </c>
      <c r="G7" s="83">
        <v>6.3E-2</v>
      </c>
      <c r="H7" s="86">
        <f>AVERAGE($C$7:$G$7)-0.02</f>
        <v>6.6799999999999998E-2</v>
      </c>
      <c r="I7" s="87">
        <f>AVERAGE($C$7:$G$7)-0.015</f>
        <v>7.1800000000000003E-2</v>
      </c>
      <c r="J7" s="87">
        <f t="shared" ref="J7:K7" si="2">AVERAGE($C$7:$G$7)-0.012</f>
        <v>7.4800000000000005E-2</v>
      </c>
      <c r="K7" s="87">
        <f t="shared" si="2"/>
        <v>7.4800000000000005E-2</v>
      </c>
      <c r="L7" s="87">
        <f>AVERAGE($C$7:$G$7)-0.01</f>
        <v>7.6800000000000007E-2</v>
      </c>
      <c r="M7" s="87">
        <f t="shared" ref="M7:O7" si="3">AVERAGE($C$7:$G$7)-0.007</f>
        <v>7.9799999999999996E-2</v>
      </c>
      <c r="N7" s="87">
        <f t="shared" si="3"/>
        <v>7.9799999999999996E-2</v>
      </c>
      <c r="O7" s="87">
        <f t="shared" si="3"/>
        <v>7.9799999999999996E-2</v>
      </c>
      <c r="P7" s="87">
        <f>AVERAGE($C$7:$G$7)-0.008</f>
        <v>7.8800000000000009E-2</v>
      </c>
      <c r="Q7" s="87">
        <f>AVERAGE($C$7:$G$7)-0.007</f>
        <v>7.9799999999999996E-2</v>
      </c>
      <c r="R7" s="55"/>
      <c r="S7" s="55"/>
    </row>
    <row r="8" spans="1:27" ht="15.75" customHeight="1">
      <c r="A8" s="69"/>
      <c r="B8" s="71" t="s">
        <v>71</v>
      </c>
      <c r="C8" s="51">
        <f t="shared" ref="C8:Q8" si="4">C6*(1-$C26)</f>
        <v>1832.1296000000002</v>
      </c>
      <c r="D8" s="51">
        <f t="shared" si="4"/>
        <v>2789.08</v>
      </c>
      <c r="E8" s="51">
        <f t="shared" si="4"/>
        <v>2527.0672000000004</v>
      </c>
      <c r="F8" s="51">
        <f t="shared" si="4"/>
        <v>2611.0336000000002</v>
      </c>
      <c r="G8" s="76">
        <f t="shared" si="4"/>
        <v>1923.152</v>
      </c>
      <c r="H8" s="88">
        <f t="shared" si="4"/>
        <v>2222.6956061439359</v>
      </c>
      <c r="I8" s="78">
        <f t="shared" si="4"/>
        <v>2532.4609991322882</v>
      </c>
      <c r="J8" s="78">
        <f t="shared" si="4"/>
        <v>2796.7140041850244</v>
      </c>
      <c r="K8" s="78">
        <f t="shared" si="4"/>
        <v>2978.5601524053764</v>
      </c>
      <c r="L8" s="78">
        <f t="shared" si="4"/>
        <v>3232.5089623572485</v>
      </c>
      <c r="M8" s="78">
        <f t="shared" si="4"/>
        <v>3580.1463338801659</v>
      </c>
      <c r="N8" s="78">
        <f t="shared" si="4"/>
        <v>3762.3834288767998</v>
      </c>
      <c r="O8" s="78">
        <f t="shared" si="4"/>
        <v>3935.7380542435199</v>
      </c>
      <c r="P8" s="78">
        <f t="shared" si="4"/>
        <v>4081.7877118502411</v>
      </c>
      <c r="Q8" s="78">
        <f t="shared" si="4"/>
        <v>4288.5332553732478</v>
      </c>
      <c r="R8" s="85"/>
      <c r="S8" s="79"/>
    </row>
    <row r="9" spans="1:27" ht="15.75" customHeight="1">
      <c r="A9" s="80"/>
      <c r="B9" s="81" t="s">
        <v>70</v>
      </c>
      <c r="C9" s="82">
        <f t="shared" ref="C9:Q9" si="5">C8/C4</f>
        <v>6.6013172875981851E-2</v>
      </c>
      <c r="D9" s="82">
        <f t="shared" si="5"/>
        <v>8.2647243590503391E-2</v>
      </c>
      <c r="E9" s="82">
        <f t="shared" si="5"/>
        <v>7.3846804829867579E-2</v>
      </c>
      <c r="F9" s="82">
        <f t="shared" si="5"/>
        <v>6.8993010947313901E-2</v>
      </c>
      <c r="G9" s="83">
        <f t="shared" si="5"/>
        <v>4.9704638732954963E-2</v>
      </c>
      <c r="H9" s="84">
        <f t="shared" si="5"/>
        <v>5.23712E-2</v>
      </c>
      <c r="I9" s="84">
        <f t="shared" si="5"/>
        <v>5.6291200000000007E-2</v>
      </c>
      <c r="J9" s="84">
        <f t="shared" si="5"/>
        <v>5.8643200000000006E-2</v>
      </c>
      <c r="K9" s="84">
        <f t="shared" si="5"/>
        <v>5.8643200000000006E-2</v>
      </c>
      <c r="L9" s="84">
        <f t="shared" si="5"/>
        <v>6.0211200000000013E-2</v>
      </c>
      <c r="M9" s="84">
        <f t="shared" si="5"/>
        <v>6.2563199999999985E-2</v>
      </c>
      <c r="N9" s="84">
        <f t="shared" si="5"/>
        <v>6.2563199999999999E-2</v>
      </c>
      <c r="O9" s="84">
        <f t="shared" si="5"/>
        <v>6.2563199999999999E-2</v>
      </c>
      <c r="P9" s="84">
        <f t="shared" si="5"/>
        <v>6.1779200000000013E-2</v>
      </c>
      <c r="Q9" s="84">
        <f t="shared" si="5"/>
        <v>6.2563199999999999E-2</v>
      </c>
      <c r="R9" s="85"/>
      <c r="S9" s="79"/>
    </row>
    <row r="10" spans="1:27" ht="15.75" customHeight="1">
      <c r="A10" s="69"/>
      <c r="B10" s="71" t="s">
        <v>72</v>
      </c>
      <c r="C10" s="51">
        <v>504.8</v>
      </c>
      <c r="D10" s="51">
        <v>574.20000000000005</v>
      </c>
      <c r="E10" s="51">
        <v>641.29999999999995</v>
      </c>
      <c r="F10" s="51">
        <v>724.9</v>
      </c>
      <c r="G10" s="76">
        <v>848.8</v>
      </c>
      <c r="H10" s="77">
        <f t="shared" ref="H10:Q10" si="6">H11*H4</f>
        <v>2079.9207041502204</v>
      </c>
      <c r="I10" s="77">
        <f t="shared" si="6"/>
        <v>2204.761269089423</v>
      </c>
      <c r="J10" s="77">
        <f t="shared" si="6"/>
        <v>2098.7151139187281</v>
      </c>
      <c r="K10" s="77">
        <f t="shared" si="6"/>
        <v>2235.1764249812336</v>
      </c>
      <c r="L10" s="77">
        <f t="shared" si="6"/>
        <v>2094.1438274699217</v>
      </c>
      <c r="M10" s="77">
        <f t="shared" si="6"/>
        <v>2060.4894192449178</v>
      </c>
      <c r="N10" s="77">
        <f t="shared" si="6"/>
        <v>1744.4114635500684</v>
      </c>
      <c r="O10" s="77">
        <f t="shared" si="6"/>
        <v>1824.7865240577667</v>
      </c>
      <c r="P10" s="77">
        <f t="shared" si="6"/>
        <v>1784.37711953806</v>
      </c>
      <c r="Q10" s="77">
        <f t="shared" si="6"/>
        <v>1714.16949892359</v>
      </c>
      <c r="R10" s="85"/>
      <c r="S10" s="79"/>
    </row>
    <row r="11" spans="1:27" ht="15.75" customHeight="1">
      <c r="A11" s="80"/>
      <c r="B11" s="81" t="s">
        <v>70</v>
      </c>
      <c r="C11" s="82">
        <f t="shared" ref="C11:G11" si="7">C10/C4</f>
        <v>1.8188369244072928E-2</v>
      </c>
      <c r="D11" s="82">
        <f t="shared" si="7"/>
        <v>1.7014946602344518E-2</v>
      </c>
      <c r="E11" s="82">
        <f t="shared" si="7"/>
        <v>1.8740283573540926E-2</v>
      </c>
      <c r="F11" s="82">
        <f t="shared" si="7"/>
        <v>1.9154496378640185E-2</v>
      </c>
      <c r="G11" s="83">
        <f t="shared" si="7"/>
        <v>2.1937578182344489E-2</v>
      </c>
      <c r="H11" s="89">
        <f t="shared" ref="H11:I11" si="8">AVERAGE($C$11:$G$11)+0.03</f>
        <v>4.9007134796188609E-2</v>
      </c>
      <c r="I11" s="89">
        <f t="shared" si="8"/>
        <v>4.9007134796188609E-2</v>
      </c>
      <c r="J11" s="89">
        <f t="shared" ref="J11:K11" si="9">AVERAGE($C$11:$G$11)+0.025</f>
        <v>4.4007134796188611E-2</v>
      </c>
      <c r="K11" s="89">
        <f t="shared" si="9"/>
        <v>4.4007134796188611E-2</v>
      </c>
      <c r="L11" s="89">
        <f>AVERAGE($C$11:$G$11)+0.02</f>
        <v>3.9007134796188614E-2</v>
      </c>
      <c r="M11" s="89">
        <f>AVERAGE($C$11:$G$11)+0.017</f>
        <v>3.6007134796188611E-2</v>
      </c>
      <c r="N11" s="89">
        <f t="shared" ref="N11:O11" si="10">AVERAGE($C$11:$G$11)+0.01</f>
        <v>2.9007134796188612E-2</v>
      </c>
      <c r="O11" s="89">
        <f t="shared" si="10"/>
        <v>2.9007134796188612E-2</v>
      </c>
      <c r="P11" s="89">
        <f>AVERAGE($C$11:$G$11)+0.008</f>
        <v>2.700713479618861E-2</v>
      </c>
      <c r="Q11" s="89">
        <f>AVERAGE($C$11:$G$11)+0.006</f>
        <v>2.5007134796188608E-2</v>
      </c>
      <c r="R11" s="90"/>
      <c r="S11" s="55"/>
    </row>
    <row r="12" spans="1:27" ht="15.75" customHeight="1">
      <c r="A12" s="69"/>
      <c r="B12" s="71" t="s">
        <v>73</v>
      </c>
      <c r="C12" s="91">
        <v>-784.8</v>
      </c>
      <c r="D12" s="91">
        <v>-1028</v>
      </c>
      <c r="E12" s="91">
        <v>-1070.5</v>
      </c>
      <c r="F12" s="91">
        <v>-1560.6</v>
      </c>
      <c r="G12" s="92">
        <v>-1700.2</v>
      </c>
      <c r="H12" s="93">
        <f t="shared" ref="H12:Q12" si="11">H13*H4</f>
        <v>-2758.6767994500001</v>
      </c>
      <c r="I12" s="93">
        <f t="shared" si="11"/>
        <v>-2924.2575206000001</v>
      </c>
      <c r="J12" s="93">
        <f t="shared" si="11"/>
        <v>-2720.2639983303534</v>
      </c>
      <c r="K12" s="93">
        <f t="shared" si="11"/>
        <v>-2541.6006659342761</v>
      </c>
      <c r="L12" s="93">
        <f t="shared" si="11"/>
        <v>-2415.8778318</v>
      </c>
      <c r="M12" s="93">
        <f t="shared" si="11"/>
        <v>-2288.97903808</v>
      </c>
      <c r="N12" s="93">
        <f t="shared" si="11"/>
        <v>-2164.9436639999999</v>
      </c>
      <c r="O12" s="93">
        <f t="shared" si="11"/>
        <v>-1950.1540791</v>
      </c>
      <c r="P12" s="93">
        <f t="shared" si="11"/>
        <v>-1849.9763016000002</v>
      </c>
      <c r="Q12" s="93">
        <f t="shared" si="11"/>
        <v>-1714.1671137416938</v>
      </c>
      <c r="R12" s="94"/>
      <c r="S12" s="79"/>
    </row>
    <row r="13" spans="1:27" ht="15.75" customHeight="1">
      <c r="A13" s="80"/>
      <c r="B13" s="81" t="s">
        <v>70</v>
      </c>
      <c r="C13" s="82">
        <f t="shared" ref="C13:G13" si="12">C12/C4</f>
        <v>-2.8277005116379619E-2</v>
      </c>
      <c r="D13" s="82">
        <f t="shared" si="12"/>
        <v>-3.0462147522135431E-2</v>
      </c>
      <c r="E13" s="82">
        <f t="shared" si="12"/>
        <v>-3.1282509847926965E-2</v>
      </c>
      <c r="F13" s="82">
        <f t="shared" si="12"/>
        <v>-4.1236732029943261E-2</v>
      </c>
      <c r="G13" s="83">
        <f t="shared" si="12"/>
        <v>-4.3942354412844137E-2</v>
      </c>
      <c r="H13" s="84">
        <f>-6.5%</f>
        <v>-6.5000000000000002E-2</v>
      </c>
      <c r="I13" s="84">
        <v>-6.5000000000000002E-2</v>
      </c>
      <c r="J13" s="84">
        <f>AVERAGE($C$13:$G$13)-0.022</f>
        <v>-5.704014978584588E-2</v>
      </c>
      <c r="K13" s="84">
        <f>AVERAGE($C$13:$G$13)-0.015</f>
        <v>-5.004014978584588E-2</v>
      </c>
      <c r="L13" s="84">
        <v>-4.4999999999999998E-2</v>
      </c>
      <c r="M13" s="29">
        <v>-0.04</v>
      </c>
      <c r="N13" s="30">
        <v>-3.5999999999999997E-2</v>
      </c>
      <c r="O13" s="29">
        <v>-3.1E-2</v>
      </c>
      <c r="P13" s="29">
        <v>-2.8000000000000001E-2</v>
      </c>
      <c r="Q13" s="29">
        <v>-2.5007100000000001E-2</v>
      </c>
      <c r="R13" s="55"/>
      <c r="S13" s="55"/>
    </row>
    <row r="14" spans="1:27" ht="15.75" customHeight="1">
      <c r="A14" s="69"/>
      <c r="B14" s="71" t="s">
        <v>74</v>
      </c>
      <c r="C14" s="51">
        <f>'NWC Build'!E20</f>
        <v>394.54300000000109</v>
      </c>
      <c r="D14" s="51">
        <f>'NWC Build'!F20</f>
        <v>-173.14099999999985</v>
      </c>
      <c r="E14" s="51">
        <f>'NWC Build'!G20</f>
        <v>-20.342999999999783</v>
      </c>
      <c r="F14" s="51">
        <f>'NWC Build'!H20</f>
        <v>1311.6649999999995</v>
      </c>
      <c r="G14" s="76">
        <f>'NWC Build'!I20</f>
        <v>1516.3849999999986</v>
      </c>
      <c r="H14" s="51">
        <f>'NWC Build'!J20</f>
        <v>262.65366282635392</v>
      </c>
      <c r="I14" s="51">
        <f>'NWC Build'!K20</f>
        <v>-164.98007704157303</v>
      </c>
      <c r="J14" s="51">
        <f>'NWC Build'!L20</f>
        <v>160.19779510078538</v>
      </c>
      <c r="K14" s="51">
        <f>'NWC Build'!M20</f>
        <v>408.63115575670815</v>
      </c>
      <c r="L14" s="51">
        <f>'NWC Build'!N20</f>
        <v>388.66220780693516</v>
      </c>
      <c r="M14" s="51">
        <f>'NWC Build'!O20</f>
        <v>-89.665579814681408</v>
      </c>
      <c r="N14" s="51">
        <f>'NWC Build'!P20</f>
        <v>4.9299548777429436</v>
      </c>
      <c r="O14" s="51">
        <f>'NWC Build'!Q20</f>
        <v>228.47029523242105</v>
      </c>
      <c r="P14" s="51">
        <f>'NWC Build'!R20</f>
        <v>58.561061251590274</v>
      </c>
      <c r="Q14" s="51">
        <f>'NWC Build'!S20</f>
        <v>250.50904014342456</v>
      </c>
      <c r="R14" s="95"/>
      <c r="S14" s="95"/>
    </row>
    <row r="15" spans="1:27" ht="15.75" customHeight="1">
      <c r="A15" s="80"/>
      <c r="B15" s="81" t="s">
        <v>70</v>
      </c>
      <c r="C15" s="82">
        <f t="shared" ref="C15:Q15" si="13">C14/C4</f>
        <v>1.4215716653455397E-2</v>
      </c>
      <c r="D15" s="82">
        <f t="shared" si="13"/>
        <v>-5.1305901596595772E-3</v>
      </c>
      <c r="E15" s="82">
        <f t="shared" si="13"/>
        <v>-5.9446996528385939E-4</v>
      </c>
      <c r="F15" s="82">
        <f t="shared" si="13"/>
        <v>3.4658963294922157E-2</v>
      </c>
      <c r="G15" s="83">
        <f t="shared" si="13"/>
        <v>3.9191581635290317E-2</v>
      </c>
      <c r="H15" s="87">
        <f t="shared" si="13"/>
        <v>6.1886510544173793E-3</v>
      </c>
      <c r="I15" s="87">
        <f t="shared" si="13"/>
        <v>-3.6671548015723165E-3</v>
      </c>
      <c r="J15" s="87">
        <f t="shared" si="13"/>
        <v>3.3591247884468553E-3</v>
      </c>
      <c r="K15" s="87">
        <f t="shared" si="13"/>
        <v>8.0453096016609889E-3</v>
      </c>
      <c r="L15" s="87">
        <f t="shared" si="13"/>
        <v>7.2395214365127657E-3</v>
      </c>
      <c r="M15" s="87">
        <f t="shared" si="13"/>
        <v>-1.5669095841068614E-3</v>
      </c>
      <c r="N15" s="87">
        <f t="shared" si="13"/>
        <v>8.1978288188262974E-5</v>
      </c>
      <c r="O15" s="87">
        <f t="shared" si="13"/>
        <v>3.6318049061403791E-3</v>
      </c>
      <c r="P15" s="87">
        <f t="shared" si="13"/>
        <v>8.8634092967914346E-4</v>
      </c>
      <c r="Q15" s="87">
        <f t="shared" si="13"/>
        <v>3.6545471952827489E-3</v>
      </c>
      <c r="R15" s="55"/>
      <c r="S15" s="55"/>
    </row>
    <row r="16" spans="1:27" ht="15.75" customHeight="1">
      <c r="A16" s="69"/>
      <c r="B16" s="71" t="s">
        <v>17</v>
      </c>
      <c r="C16" s="96">
        <v>0</v>
      </c>
      <c r="D16" s="91">
        <f t="shared" ref="D16:Q16" si="14">D14-C14</f>
        <v>-567.68400000000088</v>
      </c>
      <c r="E16" s="91">
        <f t="shared" si="14"/>
        <v>152.79800000000006</v>
      </c>
      <c r="F16" s="91">
        <f t="shared" si="14"/>
        <v>1332.0079999999994</v>
      </c>
      <c r="G16" s="92">
        <f t="shared" si="14"/>
        <v>204.71999999999912</v>
      </c>
      <c r="H16" s="93">
        <f t="shared" si="14"/>
        <v>-1253.7313371736448</v>
      </c>
      <c r="I16" s="93">
        <f t="shared" si="14"/>
        <v>-427.63373986792692</v>
      </c>
      <c r="J16" s="93">
        <f t="shared" si="14"/>
        <v>325.17787214235841</v>
      </c>
      <c r="K16" s="93">
        <f t="shared" si="14"/>
        <v>248.43336065592277</v>
      </c>
      <c r="L16" s="93">
        <f t="shared" si="14"/>
        <v>-19.968947949772996</v>
      </c>
      <c r="M16" s="93">
        <f t="shared" si="14"/>
        <v>-478.32778762161655</v>
      </c>
      <c r="N16" s="93">
        <f t="shared" si="14"/>
        <v>94.595534692424351</v>
      </c>
      <c r="O16" s="93">
        <f t="shared" si="14"/>
        <v>223.54034035467811</v>
      </c>
      <c r="P16" s="93">
        <f t="shared" si="14"/>
        <v>-169.90923398083078</v>
      </c>
      <c r="Q16" s="93">
        <f t="shared" si="14"/>
        <v>191.94797889183428</v>
      </c>
      <c r="R16" s="95"/>
      <c r="S16" s="95"/>
    </row>
    <row r="17" spans="1:19" ht="15.75" customHeight="1">
      <c r="A17" s="69"/>
      <c r="B17" s="71" t="s">
        <v>75</v>
      </c>
      <c r="C17" s="96">
        <v>0</v>
      </c>
      <c r="D17" s="51">
        <f t="shared" ref="D17:Q17" si="15">D8+D10+D12-D16</f>
        <v>2902.9640000000009</v>
      </c>
      <c r="E17" s="51">
        <f t="shared" si="15"/>
        <v>1945.0692000000006</v>
      </c>
      <c r="F17" s="51">
        <f t="shared" si="15"/>
        <v>443.32560000000103</v>
      </c>
      <c r="G17" s="76">
        <f t="shared" si="15"/>
        <v>867.03200000000106</v>
      </c>
      <c r="H17" s="51">
        <f t="shared" si="15"/>
        <v>2797.6708480178013</v>
      </c>
      <c r="I17" s="51">
        <f t="shared" si="15"/>
        <v>2240.5984874896376</v>
      </c>
      <c r="J17" s="51">
        <f t="shared" si="15"/>
        <v>1849.9872476310406</v>
      </c>
      <c r="K17" s="51">
        <f t="shared" si="15"/>
        <v>2423.7025507964108</v>
      </c>
      <c r="L17" s="51">
        <f t="shared" si="15"/>
        <v>2930.7439059769436</v>
      </c>
      <c r="M17" s="51">
        <f t="shared" si="15"/>
        <v>3829.9845026666999</v>
      </c>
      <c r="N17" s="51">
        <f t="shared" si="15"/>
        <v>3247.2556937344443</v>
      </c>
      <c r="O17" s="51">
        <f t="shared" si="15"/>
        <v>3586.8301588466093</v>
      </c>
      <c r="P17" s="51">
        <f t="shared" si="15"/>
        <v>4186.0977637691321</v>
      </c>
      <c r="Q17" s="51">
        <f t="shared" si="15"/>
        <v>4096.5876616633104</v>
      </c>
      <c r="R17" s="55"/>
      <c r="S17" s="55"/>
    </row>
    <row r="18" spans="1:19" ht="15.75" customHeight="1">
      <c r="A18" s="69"/>
      <c r="B18" s="71" t="s">
        <v>76</v>
      </c>
      <c r="C18" s="96">
        <v>0</v>
      </c>
      <c r="D18" s="96">
        <v>0</v>
      </c>
      <c r="E18" s="96">
        <v>0</v>
      </c>
      <c r="F18" s="96">
        <v>0</v>
      </c>
      <c r="G18" s="97">
        <v>0</v>
      </c>
      <c r="H18" s="91">
        <f t="shared" ref="H18:Q18" si="16">H17/(1+$C38)^(H3-$G3)</f>
        <v>2600.9612892801074</v>
      </c>
      <c r="I18" s="91">
        <f t="shared" si="16"/>
        <v>1936.5939937408759</v>
      </c>
      <c r="J18" s="91">
        <f t="shared" si="16"/>
        <v>1486.5535140904401</v>
      </c>
      <c r="K18" s="91">
        <f t="shared" si="16"/>
        <v>1810.6245480107432</v>
      </c>
      <c r="L18" s="91">
        <f t="shared" si="16"/>
        <v>2035.4677503884957</v>
      </c>
      <c r="M18" s="91">
        <f t="shared" si="16"/>
        <v>2472.9802217511028</v>
      </c>
      <c r="N18" s="91">
        <f t="shared" si="16"/>
        <v>1949.2941720115318</v>
      </c>
      <c r="O18" s="91">
        <f t="shared" si="16"/>
        <v>2001.7460545087158</v>
      </c>
      <c r="P18" s="91">
        <f t="shared" si="16"/>
        <v>2171.9249099181511</v>
      </c>
      <c r="Q18" s="91">
        <f t="shared" si="16"/>
        <v>1976.0365038852692</v>
      </c>
      <c r="R18" s="95"/>
      <c r="S18" s="95"/>
    </row>
    <row r="19" spans="1:19" ht="15.75" customHeight="1">
      <c r="A19" s="5"/>
      <c r="B19" s="2"/>
      <c r="C19" s="2"/>
      <c r="D19" s="2"/>
      <c r="E19" s="2"/>
      <c r="F19" s="2"/>
      <c r="G19" s="2"/>
      <c r="H19" s="2"/>
      <c r="I19" s="2"/>
      <c r="J19" s="2"/>
      <c r="K19" s="2"/>
      <c r="L19" s="2"/>
      <c r="M19" s="2"/>
      <c r="N19" s="6"/>
      <c r="O19" s="98"/>
      <c r="P19" s="98"/>
      <c r="Q19" s="98"/>
      <c r="R19" s="98"/>
      <c r="S19" s="98"/>
    </row>
    <row r="20" spans="1:19" ht="15">
      <c r="A20" s="4"/>
      <c r="B20" s="209" t="s">
        <v>77</v>
      </c>
      <c r="C20" s="206"/>
      <c r="D20" s="2"/>
      <c r="E20" s="209" t="s">
        <v>78</v>
      </c>
      <c r="F20" s="206"/>
      <c r="G20" s="206"/>
      <c r="H20" s="2"/>
      <c r="I20" s="209" t="s">
        <v>79</v>
      </c>
      <c r="J20" s="206"/>
      <c r="K20" s="206"/>
      <c r="L20" s="2"/>
      <c r="M20" s="2"/>
      <c r="N20" s="6"/>
      <c r="O20" s="99"/>
      <c r="P20" s="99"/>
      <c r="Q20" s="99"/>
      <c r="R20" s="99"/>
      <c r="S20" s="99"/>
    </row>
    <row r="21" spans="1:19" ht="14">
      <c r="A21" s="69"/>
      <c r="B21" s="100" t="s">
        <v>80</v>
      </c>
      <c r="C21" s="101">
        <v>4.6699999999999998E-2</v>
      </c>
      <c r="D21" s="2"/>
      <c r="E21" s="100" t="s">
        <v>81</v>
      </c>
      <c r="F21" s="2"/>
      <c r="G21" s="101">
        <v>0.02</v>
      </c>
      <c r="H21" s="2"/>
      <c r="I21" s="100" t="s">
        <v>82</v>
      </c>
      <c r="J21" s="2"/>
      <c r="K21" s="102">
        <f>Comps!K12</f>
        <v>13.092304909947179</v>
      </c>
      <c r="L21" s="2"/>
      <c r="M21" s="2"/>
      <c r="N21" s="2"/>
      <c r="O21" s="60" t="s">
        <v>83</v>
      </c>
      <c r="P21" s="2"/>
      <c r="Q21" s="2"/>
      <c r="R21" s="2"/>
      <c r="S21" s="2"/>
    </row>
    <row r="22" spans="1:19" ht="15.75" customHeight="1">
      <c r="A22" s="69"/>
      <c r="B22" s="100" t="s">
        <v>84</v>
      </c>
      <c r="C22" s="103">
        <v>1.1299999999999999</v>
      </c>
      <c r="D22" s="2"/>
      <c r="E22" s="100" t="s">
        <v>85</v>
      </c>
      <c r="F22" s="2"/>
      <c r="G22" s="104">
        <f>Q17*((1+G21)/(C38-G21))</f>
        <v>75113.292110882918</v>
      </c>
      <c r="H22" s="2"/>
      <c r="I22" s="100" t="s">
        <v>85</v>
      </c>
      <c r="J22" s="2"/>
      <c r="K22" s="104">
        <f>O22*K21</f>
        <v>49173.367441274917</v>
      </c>
      <c r="L22" s="2"/>
      <c r="M22" s="2"/>
      <c r="N22" s="2"/>
      <c r="O22" s="79">
        <f>Q6-Q10</f>
        <v>3755.8984288484089</v>
      </c>
      <c r="P22" s="2"/>
      <c r="Q22" s="2"/>
      <c r="R22" s="2"/>
      <c r="S22" s="2"/>
    </row>
    <row r="23" spans="1:19" ht="15.75" customHeight="1">
      <c r="A23" s="69"/>
      <c r="B23" s="100" t="s">
        <v>86</v>
      </c>
      <c r="C23" s="105">
        <v>1.32</v>
      </c>
      <c r="D23" s="2"/>
      <c r="E23" s="100" t="s">
        <v>87</v>
      </c>
      <c r="F23" s="2"/>
      <c r="G23" s="104">
        <f>G22/((1+C38)^(L3-G3))</f>
        <v>52167.875673274742</v>
      </c>
      <c r="H23" s="2"/>
      <c r="I23" s="100" t="s">
        <v>87</v>
      </c>
      <c r="J23" s="2"/>
      <c r="K23" s="104">
        <f>K22/((1+C38)^(Q3-G3))</f>
        <v>23719.34329447987</v>
      </c>
      <c r="L23" s="2"/>
      <c r="N23" s="2"/>
      <c r="O23" s="2"/>
      <c r="P23" s="2"/>
      <c r="Q23" s="2"/>
      <c r="R23" s="2"/>
      <c r="S23" s="2"/>
    </row>
    <row r="24" spans="1:19" ht="15.75" customHeight="1">
      <c r="A24" s="69"/>
      <c r="B24" s="100" t="s">
        <v>88</v>
      </c>
      <c r="C24" s="101">
        <v>4.5699999999999998E-2</v>
      </c>
      <c r="D24" s="2"/>
      <c r="E24" s="100" t="s">
        <v>89</v>
      </c>
      <c r="F24" s="2"/>
      <c r="G24" s="104">
        <f>SUM(H18:Q18)</f>
        <v>20442.182957585435</v>
      </c>
      <c r="H24" s="2"/>
      <c r="I24" s="100" t="str">
        <f t="shared" ref="I24:I27" si="17">E24</f>
        <v>Sum of Near Term Cash Flows</v>
      </c>
      <c r="J24" s="2"/>
      <c r="K24" s="104">
        <f>SUM(H18:Q18)</f>
        <v>20442.182957585435</v>
      </c>
      <c r="L24" s="2"/>
      <c r="N24" s="2"/>
      <c r="O24" s="2"/>
      <c r="P24" s="2"/>
      <c r="Q24" s="2"/>
      <c r="R24" s="2"/>
      <c r="S24" s="2"/>
    </row>
    <row r="25" spans="1:19" ht="15.75" customHeight="1">
      <c r="A25" s="5"/>
      <c r="B25" s="2"/>
      <c r="C25" s="2"/>
      <c r="D25" s="2"/>
      <c r="E25" s="100" t="s">
        <v>90</v>
      </c>
      <c r="F25" s="2"/>
      <c r="G25" s="104">
        <f>G24+G23</f>
        <v>72610.058630860178</v>
      </c>
      <c r="H25" s="2"/>
      <c r="I25" s="100" t="str">
        <f t="shared" si="17"/>
        <v>Implied Enterprise Value</v>
      </c>
      <c r="J25" s="2"/>
      <c r="K25" s="104">
        <f>K24+K23</f>
        <v>44161.526252065305</v>
      </c>
      <c r="L25" s="2"/>
      <c r="M25" s="2"/>
      <c r="N25" s="2"/>
      <c r="O25" s="2"/>
      <c r="P25" s="2"/>
      <c r="Q25" s="2"/>
      <c r="R25" s="2"/>
      <c r="S25" s="2"/>
    </row>
    <row r="26" spans="1:19" ht="15.75" customHeight="1">
      <c r="A26" s="69"/>
      <c r="B26" s="100" t="s">
        <v>91</v>
      </c>
      <c r="C26" s="101">
        <f>0.216</f>
        <v>0.216</v>
      </c>
      <c r="D26" s="2"/>
      <c r="E26" s="100" t="s">
        <v>92</v>
      </c>
      <c r="F26" s="2"/>
      <c r="G26" s="104">
        <f>G25-$C34</f>
        <v>68986.358630860181</v>
      </c>
      <c r="H26" s="2"/>
      <c r="I26" s="100" t="str">
        <f t="shared" si="17"/>
        <v>Implied Equity Value</v>
      </c>
      <c r="J26" s="2"/>
      <c r="K26" s="104">
        <f>K25-$C34</f>
        <v>40537.826252065308</v>
      </c>
      <c r="L26" s="2"/>
      <c r="M26" s="2"/>
      <c r="N26" s="2"/>
      <c r="O26" s="2"/>
      <c r="P26" s="2"/>
      <c r="Q26" s="2"/>
      <c r="R26" s="2"/>
      <c r="S26" s="2"/>
    </row>
    <row r="27" spans="1:19" ht="15.75" customHeight="1">
      <c r="A27" s="69"/>
      <c r="B27" s="100" t="s">
        <v>93</v>
      </c>
      <c r="C27" s="101">
        <f>C21+C23*(C24)</f>
        <v>0.10702400000000001</v>
      </c>
      <c r="D27" s="2"/>
      <c r="E27" s="100" t="s">
        <v>94</v>
      </c>
      <c r="F27" s="2"/>
      <c r="G27" s="105">
        <f>G26/$C30</f>
        <v>334.3982483318477</v>
      </c>
      <c r="H27" s="2"/>
      <c r="I27" s="100" t="str">
        <f t="shared" si="17"/>
        <v>Implied Share Price</v>
      </c>
      <c r="J27" s="2"/>
      <c r="K27" s="105">
        <f>K26/$C30</f>
        <v>196.49940015543046</v>
      </c>
      <c r="L27" s="2"/>
      <c r="M27" s="2"/>
      <c r="N27" s="2"/>
      <c r="O27" s="2"/>
      <c r="P27" s="2"/>
      <c r="Q27" s="2"/>
      <c r="R27" s="2"/>
      <c r="S27" s="2"/>
    </row>
    <row r="28" spans="1:19" ht="15.75" customHeight="1">
      <c r="A28" s="69"/>
      <c r="B28" s="100" t="s">
        <v>95</v>
      </c>
      <c r="C28" s="101">
        <f>5.8%*(1-C26)</f>
        <v>4.5471999999999999E-2</v>
      </c>
      <c r="D28" s="2"/>
      <c r="E28" s="100" t="s">
        <v>96</v>
      </c>
      <c r="F28" s="2"/>
      <c r="G28" s="101">
        <f>(G27-$C29)/$C29</f>
        <v>1.1662126600495413</v>
      </c>
      <c r="H28" s="2"/>
      <c r="I28" s="100" t="s">
        <v>96</v>
      </c>
      <c r="J28" s="2"/>
      <c r="K28" s="101">
        <f>(K27-$C29)/$C29</f>
        <v>0.27291183620800968</v>
      </c>
      <c r="L28" s="2"/>
      <c r="M28" s="2"/>
      <c r="N28" s="2"/>
      <c r="O28" s="2"/>
      <c r="P28" s="2"/>
      <c r="Q28" s="2"/>
      <c r="R28" s="2"/>
      <c r="S28" s="2"/>
    </row>
    <row r="29" spans="1:19" ht="15.75" customHeight="1">
      <c r="A29" s="69"/>
      <c r="B29" s="100" t="s">
        <v>97</v>
      </c>
      <c r="C29" s="103">
        <v>154.37</v>
      </c>
      <c r="D29" s="2"/>
      <c r="E29" s="2"/>
      <c r="F29" s="2"/>
      <c r="G29" s="2"/>
      <c r="H29" s="2"/>
      <c r="I29" s="2">
        <f>E29</f>
        <v>0</v>
      </c>
      <c r="J29" s="2"/>
      <c r="K29" s="79"/>
      <c r="L29" s="2"/>
      <c r="M29" s="2"/>
      <c r="N29" s="2"/>
      <c r="O29" s="2"/>
      <c r="P29" s="2"/>
      <c r="Q29" s="2"/>
      <c r="R29" s="2"/>
      <c r="S29" s="2"/>
    </row>
    <row r="30" spans="1:19" ht="15.75" customHeight="1">
      <c r="A30" s="69"/>
      <c r="B30" s="100" t="s">
        <v>98</v>
      </c>
      <c r="C30" s="104">
        <v>206.3</v>
      </c>
      <c r="D30" s="2"/>
      <c r="E30" s="2"/>
      <c r="F30" s="2"/>
      <c r="G30" s="2"/>
      <c r="H30" s="2"/>
      <c r="I30" s="2"/>
      <c r="J30" s="2"/>
      <c r="K30" s="2"/>
      <c r="L30" s="2"/>
      <c r="M30" s="2"/>
      <c r="N30" s="2"/>
      <c r="O30" s="2"/>
      <c r="P30" s="2"/>
      <c r="Q30" s="2"/>
      <c r="R30" s="2"/>
      <c r="S30" s="2"/>
    </row>
    <row r="31" spans="1:19" ht="15.75" customHeight="1">
      <c r="A31" s="69"/>
      <c r="B31" s="100" t="s">
        <v>99</v>
      </c>
      <c r="C31" s="104">
        <v>3976.7</v>
      </c>
      <c r="D31" s="2"/>
      <c r="E31" s="2"/>
      <c r="F31" s="2"/>
      <c r="G31" s="2"/>
      <c r="H31" s="2"/>
      <c r="I31" s="2"/>
      <c r="J31" s="2"/>
      <c r="K31" s="2"/>
      <c r="L31" s="2"/>
      <c r="M31" s="2"/>
      <c r="N31" s="2"/>
      <c r="O31" s="2"/>
      <c r="P31" s="2"/>
      <c r="Q31" s="2"/>
      <c r="R31" s="2"/>
      <c r="S31" s="2"/>
    </row>
    <row r="32" spans="1:19" ht="15.75" customHeight="1">
      <c r="A32" s="5"/>
      <c r="B32" s="2"/>
      <c r="C32" s="2"/>
      <c r="D32" s="2"/>
      <c r="E32" s="2"/>
      <c r="F32" s="2"/>
      <c r="G32" s="2"/>
      <c r="H32" s="2"/>
      <c r="I32" s="106"/>
      <c r="J32" s="106"/>
      <c r="K32" s="106"/>
      <c r="L32" s="106"/>
      <c r="M32" s="106"/>
      <c r="N32" s="2"/>
      <c r="O32" s="2"/>
      <c r="P32" s="2"/>
      <c r="Q32" s="2"/>
      <c r="R32" s="2"/>
      <c r="S32" s="2"/>
    </row>
    <row r="33" spans="1:19" ht="15.75" customHeight="1">
      <c r="A33" s="69"/>
      <c r="B33" s="100" t="s">
        <v>100</v>
      </c>
      <c r="C33" s="104">
        <v>4139.8</v>
      </c>
      <c r="D33" s="79"/>
      <c r="E33" s="2"/>
      <c r="F33" s="2"/>
      <c r="G33" s="2"/>
      <c r="H33" s="2"/>
      <c r="I33" s="2"/>
      <c r="J33" s="2"/>
      <c r="K33" s="2"/>
      <c r="L33" s="2"/>
      <c r="M33" s="2"/>
      <c r="N33" s="2"/>
      <c r="O33" s="2"/>
      <c r="P33" s="2"/>
      <c r="Q33" s="2"/>
      <c r="R33" s="2"/>
      <c r="S33" s="2"/>
    </row>
    <row r="34" spans="1:19" ht="15.75" customHeight="1">
      <c r="A34" s="69"/>
      <c r="B34" s="100" t="s">
        <v>101</v>
      </c>
      <c r="C34" s="104">
        <v>3623.7</v>
      </c>
      <c r="D34" s="2"/>
      <c r="E34" s="2"/>
      <c r="F34" s="2"/>
      <c r="G34" s="2"/>
      <c r="H34" s="2"/>
      <c r="I34" s="2"/>
      <c r="J34" s="2"/>
      <c r="K34" s="2"/>
      <c r="L34" s="2"/>
      <c r="M34" s="2"/>
      <c r="N34" s="2"/>
      <c r="O34" s="2"/>
      <c r="P34" s="2"/>
      <c r="Q34" s="2"/>
      <c r="R34" s="2"/>
      <c r="S34" s="2"/>
    </row>
    <row r="35" spans="1:19" ht="15.75" customHeight="1">
      <c r="A35" s="69"/>
      <c r="B35" s="100" t="s">
        <v>99</v>
      </c>
      <c r="C35" s="104">
        <f>C31</f>
        <v>3976.7</v>
      </c>
      <c r="D35" s="2"/>
      <c r="E35" s="2"/>
      <c r="F35" s="2"/>
      <c r="G35" s="2"/>
      <c r="H35" s="2"/>
      <c r="I35" s="79"/>
      <c r="J35" s="79"/>
      <c r="K35" s="79"/>
      <c r="L35" s="2"/>
      <c r="M35" s="2"/>
      <c r="N35" s="2"/>
      <c r="O35" s="2"/>
      <c r="P35" s="2"/>
      <c r="Q35" s="2"/>
      <c r="R35" s="2"/>
      <c r="S35" s="2"/>
    </row>
    <row r="36" spans="1:19" ht="15.75" customHeight="1">
      <c r="A36" s="69"/>
      <c r="B36" s="100" t="s">
        <v>102</v>
      </c>
      <c r="C36" s="101">
        <f>C35/(C33+C35)</f>
        <v>0.48995256576110391</v>
      </c>
      <c r="D36" s="2"/>
      <c r="E36" s="2"/>
      <c r="F36" s="2"/>
      <c r="G36" s="2"/>
      <c r="H36" s="2"/>
      <c r="I36" s="79"/>
      <c r="J36" s="79"/>
      <c r="K36" s="79"/>
      <c r="L36" s="2"/>
      <c r="M36" s="2"/>
      <c r="N36" s="2"/>
      <c r="O36" s="2"/>
      <c r="P36" s="2"/>
      <c r="Q36" s="2"/>
      <c r="R36" s="2"/>
      <c r="S36" s="2"/>
    </row>
    <row r="37" spans="1:19" ht="15.75" customHeight="1">
      <c r="A37" s="69"/>
      <c r="B37" s="100" t="s">
        <v>103</v>
      </c>
      <c r="C37" s="101">
        <f>1-C36</f>
        <v>0.51004743423889609</v>
      </c>
      <c r="D37" s="2"/>
      <c r="E37" s="2"/>
      <c r="F37" s="2"/>
      <c r="G37" s="2"/>
      <c r="H37" s="2"/>
      <c r="I37" s="79"/>
      <c r="J37" s="79"/>
      <c r="K37" s="79"/>
      <c r="L37" s="2"/>
      <c r="M37" s="2"/>
      <c r="N37" s="2"/>
      <c r="O37" s="2"/>
      <c r="P37" s="2"/>
      <c r="Q37" s="2"/>
      <c r="R37" s="2"/>
      <c r="S37" s="2"/>
    </row>
    <row r="38" spans="1:19" ht="15.75" customHeight="1">
      <c r="A38" s="7"/>
      <c r="B38" s="8" t="s">
        <v>104</v>
      </c>
      <c r="C38" s="107">
        <f>C36*C27+C28*C37</f>
        <v>7.5629560327727469E-2</v>
      </c>
      <c r="D38" s="2"/>
      <c r="E38" s="2"/>
      <c r="F38" s="2"/>
      <c r="G38" s="2"/>
      <c r="H38" s="2"/>
      <c r="I38" s="79"/>
      <c r="J38" s="79"/>
      <c r="K38" s="79"/>
      <c r="L38" s="2"/>
      <c r="M38" s="2"/>
      <c r="N38" s="2"/>
      <c r="O38" s="2"/>
      <c r="P38" s="2"/>
      <c r="Q38" s="2"/>
      <c r="R38" s="2"/>
      <c r="S38" s="2"/>
    </row>
    <row r="39" spans="1:19" ht="15.75" customHeight="1">
      <c r="A39" s="70"/>
    </row>
    <row r="40" spans="1:19" ht="15.75" customHeight="1">
      <c r="A40" s="70"/>
    </row>
    <row r="41" spans="1:19" ht="15.75" customHeight="1">
      <c r="A41" s="70"/>
    </row>
    <row r="42" spans="1:19" ht="15.75" customHeight="1">
      <c r="A42" s="70"/>
    </row>
    <row r="43" spans="1:19" ht="15.75" customHeight="1">
      <c r="A43" s="70"/>
    </row>
    <row r="44" spans="1:19" ht="15.75" customHeight="1">
      <c r="A44" s="70"/>
    </row>
    <row r="45" spans="1:19" ht="15.75" customHeight="1">
      <c r="A45" s="70"/>
    </row>
    <row r="46" spans="1:19" ht="15.75" customHeight="1">
      <c r="A46" s="70"/>
    </row>
    <row r="47" spans="1:19" ht="15.75" customHeight="1">
      <c r="A47" s="70"/>
    </row>
    <row r="48" spans="1:19" ht="15.75" customHeight="1">
      <c r="A48" s="70"/>
    </row>
    <row r="49" spans="1:1" ht="15.75" customHeight="1">
      <c r="A49" s="70"/>
    </row>
    <row r="50" spans="1:1" ht="15.75" customHeight="1">
      <c r="A50" s="70"/>
    </row>
    <row r="51" spans="1:1" ht="15.75" customHeight="1">
      <c r="A51" s="70"/>
    </row>
    <row r="52" spans="1:1" ht="15.75" customHeight="1">
      <c r="A52" s="70"/>
    </row>
    <row r="53" spans="1:1" ht="15.75" customHeight="1">
      <c r="A53" s="70"/>
    </row>
    <row r="54" spans="1:1" ht="15.75" customHeight="1">
      <c r="A54" s="70"/>
    </row>
    <row r="55" spans="1:1" ht="15.75" customHeight="1">
      <c r="A55" s="70"/>
    </row>
    <row r="56" spans="1:1" ht="15.75" customHeight="1">
      <c r="A56" s="70"/>
    </row>
    <row r="57" spans="1:1" ht="15.75" customHeight="1">
      <c r="A57" s="70"/>
    </row>
    <row r="58" spans="1:1" ht="15.75" customHeight="1">
      <c r="A58" s="70"/>
    </row>
    <row r="59" spans="1:1" ht="15.75" customHeight="1">
      <c r="A59" s="70"/>
    </row>
    <row r="60" spans="1:1" ht="15.75" customHeight="1">
      <c r="A60" s="70"/>
    </row>
    <row r="61" spans="1:1" ht="15.75" customHeight="1">
      <c r="A61" s="70"/>
    </row>
    <row r="62" spans="1:1" ht="15.75" customHeight="1">
      <c r="A62" s="70"/>
    </row>
    <row r="63" spans="1:1" ht="13">
      <c r="A63" s="70"/>
    </row>
    <row r="64" spans="1:1" ht="13">
      <c r="A64" s="70"/>
    </row>
    <row r="65" spans="1:1" ht="13">
      <c r="A65" s="70"/>
    </row>
    <row r="66" spans="1:1" ht="13">
      <c r="A66" s="70"/>
    </row>
    <row r="67" spans="1:1" ht="13">
      <c r="A67" s="70"/>
    </row>
    <row r="68" spans="1:1" ht="13">
      <c r="A68" s="70"/>
    </row>
    <row r="69" spans="1:1" ht="13">
      <c r="A69" s="70"/>
    </row>
    <row r="70" spans="1:1" ht="13">
      <c r="A70" s="70"/>
    </row>
    <row r="71" spans="1:1" ht="13">
      <c r="A71" s="70"/>
    </row>
    <row r="72" spans="1:1" ht="13">
      <c r="A72" s="70"/>
    </row>
    <row r="73" spans="1:1" ht="13">
      <c r="A73" s="70"/>
    </row>
    <row r="74" spans="1:1" ht="13">
      <c r="A74" s="70"/>
    </row>
    <row r="75" spans="1:1" ht="13">
      <c r="A75" s="70"/>
    </row>
    <row r="76" spans="1:1" ht="13">
      <c r="A76" s="70"/>
    </row>
    <row r="77" spans="1:1" ht="13">
      <c r="A77" s="70"/>
    </row>
    <row r="78" spans="1:1" ht="13">
      <c r="A78" s="70"/>
    </row>
    <row r="79" spans="1:1" ht="13">
      <c r="A79" s="70"/>
    </row>
    <row r="80" spans="1:1" ht="13">
      <c r="A80" s="70"/>
    </row>
    <row r="81" spans="1:1" ht="13">
      <c r="A81" s="70"/>
    </row>
    <row r="82" spans="1:1" ht="13">
      <c r="A82" s="70"/>
    </row>
    <row r="83" spans="1:1" ht="13">
      <c r="A83" s="70"/>
    </row>
    <row r="84" spans="1:1" ht="13">
      <c r="A84" s="70"/>
    </row>
    <row r="85" spans="1:1" ht="13">
      <c r="A85" s="70"/>
    </row>
    <row r="86" spans="1:1" ht="13">
      <c r="A86" s="70"/>
    </row>
    <row r="87" spans="1:1" ht="13">
      <c r="A87" s="70"/>
    </row>
    <row r="88" spans="1:1" ht="13">
      <c r="A88" s="70"/>
    </row>
    <row r="89" spans="1:1" ht="13">
      <c r="A89" s="70"/>
    </row>
    <row r="90" spans="1:1" ht="13">
      <c r="A90" s="70"/>
    </row>
    <row r="91" spans="1:1" ht="13">
      <c r="A91" s="70"/>
    </row>
    <row r="92" spans="1:1" ht="13">
      <c r="A92" s="70"/>
    </row>
    <row r="93" spans="1:1" ht="13">
      <c r="A93" s="70"/>
    </row>
    <row r="94" spans="1:1" ht="13">
      <c r="A94" s="70"/>
    </row>
    <row r="95" spans="1:1" ht="13">
      <c r="A95" s="70"/>
    </row>
    <row r="96" spans="1:1" ht="13">
      <c r="A96" s="70"/>
    </row>
    <row r="97" spans="1:1" ht="13">
      <c r="A97" s="70"/>
    </row>
    <row r="98" spans="1:1" ht="13">
      <c r="A98" s="70"/>
    </row>
    <row r="99" spans="1:1" ht="13">
      <c r="A99" s="70"/>
    </row>
    <row r="100" spans="1:1" ht="13">
      <c r="A100" s="70"/>
    </row>
    <row r="101" spans="1:1" ht="13">
      <c r="A101" s="70"/>
    </row>
    <row r="102" spans="1:1" ht="13">
      <c r="A102" s="70"/>
    </row>
    <row r="103" spans="1:1" ht="13">
      <c r="A103" s="70"/>
    </row>
    <row r="104" spans="1:1" ht="13">
      <c r="A104" s="70"/>
    </row>
    <row r="105" spans="1:1" ht="13">
      <c r="A105" s="70"/>
    </row>
    <row r="106" spans="1:1" ht="13">
      <c r="A106" s="70"/>
    </row>
    <row r="107" spans="1:1" ht="13">
      <c r="A107" s="70"/>
    </row>
    <row r="108" spans="1:1" ht="13">
      <c r="A108" s="70"/>
    </row>
    <row r="109" spans="1:1" ht="13">
      <c r="A109" s="70"/>
    </row>
    <row r="110" spans="1:1" ht="13">
      <c r="A110" s="70"/>
    </row>
    <row r="111" spans="1:1" ht="13">
      <c r="A111" s="70"/>
    </row>
    <row r="112" spans="1:1" ht="13">
      <c r="A112" s="70"/>
    </row>
    <row r="113" spans="1:1" ht="13">
      <c r="A113" s="70"/>
    </row>
    <row r="114" spans="1:1" ht="13">
      <c r="A114" s="70"/>
    </row>
    <row r="115" spans="1:1" ht="13">
      <c r="A115" s="70"/>
    </row>
    <row r="116" spans="1:1" ht="13">
      <c r="A116" s="70"/>
    </row>
    <row r="117" spans="1:1" ht="13">
      <c r="A117" s="70"/>
    </row>
    <row r="118" spans="1:1" ht="13">
      <c r="A118" s="70"/>
    </row>
    <row r="119" spans="1:1" ht="13">
      <c r="A119" s="70"/>
    </row>
    <row r="120" spans="1:1" ht="13">
      <c r="A120" s="70"/>
    </row>
    <row r="121" spans="1:1" ht="13">
      <c r="A121" s="70"/>
    </row>
    <row r="122" spans="1:1" ht="13">
      <c r="A122" s="70"/>
    </row>
    <row r="123" spans="1:1" ht="13">
      <c r="A123" s="70"/>
    </row>
    <row r="124" spans="1:1" ht="13">
      <c r="A124" s="70"/>
    </row>
    <row r="125" spans="1:1" ht="13">
      <c r="A125" s="70"/>
    </row>
    <row r="126" spans="1:1" ht="13">
      <c r="A126" s="70"/>
    </row>
    <row r="127" spans="1:1" ht="13">
      <c r="A127" s="70"/>
    </row>
    <row r="128" spans="1:1" ht="13">
      <c r="A128" s="70"/>
    </row>
    <row r="129" spans="1:1" ht="13">
      <c r="A129" s="70"/>
    </row>
    <row r="130" spans="1:1" ht="13">
      <c r="A130" s="70"/>
    </row>
    <row r="131" spans="1:1" ht="13">
      <c r="A131" s="70"/>
    </row>
    <row r="132" spans="1:1" ht="13">
      <c r="A132" s="70"/>
    </row>
    <row r="133" spans="1:1" ht="13">
      <c r="A133" s="70"/>
    </row>
    <row r="134" spans="1:1" ht="13">
      <c r="A134" s="70"/>
    </row>
    <row r="135" spans="1:1" ht="13">
      <c r="A135" s="70"/>
    </row>
    <row r="136" spans="1:1" ht="13">
      <c r="A136" s="70"/>
    </row>
    <row r="137" spans="1:1" ht="13">
      <c r="A137" s="70"/>
    </row>
    <row r="138" spans="1:1" ht="13">
      <c r="A138" s="70"/>
    </row>
    <row r="139" spans="1:1" ht="13">
      <c r="A139" s="70"/>
    </row>
    <row r="140" spans="1:1" ht="13">
      <c r="A140" s="70"/>
    </row>
    <row r="141" spans="1:1" ht="13">
      <c r="A141" s="70"/>
    </row>
    <row r="142" spans="1:1" ht="13">
      <c r="A142" s="70"/>
    </row>
    <row r="143" spans="1:1" ht="13">
      <c r="A143" s="70"/>
    </row>
    <row r="144" spans="1:1" ht="13">
      <c r="A144" s="70"/>
    </row>
    <row r="145" spans="1:1" ht="13">
      <c r="A145" s="70"/>
    </row>
    <row r="146" spans="1:1" ht="13">
      <c r="A146" s="70"/>
    </row>
    <row r="147" spans="1:1" ht="13">
      <c r="A147" s="70"/>
    </row>
    <row r="148" spans="1:1" ht="13">
      <c r="A148" s="70"/>
    </row>
    <row r="149" spans="1:1" ht="13">
      <c r="A149" s="70"/>
    </row>
    <row r="150" spans="1:1" ht="13">
      <c r="A150" s="70"/>
    </row>
    <row r="151" spans="1:1" ht="13">
      <c r="A151" s="70"/>
    </row>
    <row r="152" spans="1:1" ht="13">
      <c r="A152" s="70"/>
    </row>
    <row r="153" spans="1:1" ht="13">
      <c r="A153" s="70"/>
    </row>
    <row r="154" spans="1:1" ht="13">
      <c r="A154" s="70"/>
    </row>
    <row r="155" spans="1:1" ht="13">
      <c r="A155" s="70"/>
    </row>
    <row r="156" spans="1:1" ht="13">
      <c r="A156" s="70"/>
    </row>
    <row r="157" spans="1:1" ht="13">
      <c r="A157" s="70"/>
    </row>
    <row r="158" spans="1:1" ht="13">
      <c r="A158" s="70"/>
    </row>
    <row r="159" spans="1:1" ht="13">
      <c r="A159" s="70"/>
    </row>
    <row r="160" spans="1:1" ht="13">
      <c r="A160" s="70"/>
    </row>
    <row r="161" spans="1:1" ht="13">
      <c r="A161" s="70"/>
    </row>
    <row r="162" spans="1:1" ht="13">
      <c r="A162" s="70"/>
    </row>
    <row r="163" spans="1:1" ht="13">
      <c r="A163" s="70"/>
    </row>
    <row r="164" spans="1:1" ht="13">
      <c r="A164" s="70"/>
    </row>
    <row r="165" spans="1:1" ht="13">
      <c r="A165" s="70"/>
    </row>
    <row r="166" spans="1:1" ht="13">
      <c r="A166" s="70"/>
    </row>
    <row r="167" spans="1:1" ht="13">
      <c r="A167" s="70"/>
    </row>
    <row r="168" spans="1:1" ht="13">
      <c r="A168" s="70"/>
    </row>
    <row r="169" spans="1:1" ht="13">
      <c r="A169" s="70"/>
    </row>
    <row r="170" spans="1:1" ht="13">
      <c r="A170" s="70"/>
    </row>
    <row r="171" spans="1:1" ht="13">
      <c r="A171" s="70"/>
    </row>
    <row r="172" spans="1:1" ht="13">
      <c r="A172" s="70"/>
    </row>
    <row r="173" spans="1:1" ht="13">
      <c r="A173" s="70"/>
    </row>
    <row r="174" spans="1:1" ht="13">
      <c r="A174" s="70"/>
    </row>
    <row r="175" spans="1:1" ht="13">
      <c r="A175" s="70"/>
    </row>
    <row r="176" spans="1:1" ht="13">
      <c r="A176" s="70"/>
    </row>
    <row r="177" spans="1:1" ht="13">
      <c r="A177" s="70"/>
    </row>
    <row r="178" spans="1:1" ht="13">
      <c r="A178" s="70"/>
    </row>
    <row r="179" spans="1:1" ht="13">
      <c r="A179" s="70"/>
    </row>
    <row r="180" spans="1:1" ht="13">
      <c r="A180" s="70"/>
    </row>
    <row r="181" spans="1:1" ht="13">
      <c r="A181" s="70"/>
    </row>
    <row r="182" spans="1:1" ht="13">
      <c r="A182" s="70"/>
    </row>
    <row r="183" spans="1:1" ht="13">
      <c r="A183" s="70"/>
    </row>
    <row r="184" spans="1:1" ht="13">
      <c r="A184" s="70"/>
    </row>
    <row r="185" spans="1:1" ht="13">
      <c r="A185" s="70"/>
    </row>
    <row r="186" spans="1:1" ht="13">
      <c r="A186" s="70"/>
    </row>
    <row r="187" spans="1:1" ht="13">
      <c r="A187" s="70"/>
    </row>
    <row r="188" spans="1:1" ht="13">
      <c r="A188" s="70"/>
    </row>
    <row r="189" spans="1:1" ht="13">
      <c r="A189" s="70"/>
    </row>
    <row r="190" spans="1:1" ht="13">
      <c r="A190" s="70"/>
    </row>
    <row r="191" spans="1:1" ht="13">
      <c r="A191" s="70"/>
    </row>
    <row r="192" spans="1:1" ht="13">
      <c r="A192" s="70"/>
    </row>
    <row r="193" spans="1:1" ht="13">
      <c r="A193" s="70"/>
    </row>
    <row r="194" spans="1:1" ht="13">
      <c r="A194" s="70"/>
    </row>
    <row r="195" spans="1:1" ht="13">
      <c r="A195" s="70"/>
    </row>
    <row r="196" spans="1:1" ht="13">
      <c r="A196" s="70"/>
    </row>
    <row r="197" spans="1:1" ht="13">
      <c r="A197" s="70"/>
    </row>
    <row r="198" spans="1:1" ht="13">
      <c r="A198" s="70"/>
    </row>
    <row r="199" spans="1:1" ht="13">
      <c r="A199" s="70"/>
    </row>
    <row r="200" spans="1:1" ht="13">
      <c r="A200" s="70"/>
    </row>
    <row r="201" spans="1:1" ht="13">
      <c r="A201" s="70"/>
    </row>
    <row r="202" spans="1:1" ht="13">
      <c r="A202" s="70"/>
    </row>
    <row r="203" spans="1:1" ht="13">
      <c r="A203" s="70"/>
    </row>
    <row r="204" spans="1:1" ht="13">
      <c r="A204" s="70"/>
    </row>
    <row r="205" spans="1:1" ht="13">
      <c r="A205" s="70"/>
    </row>
    <row r="206" spans="1:1" ht="13">
      <c r="A206" s="70"/>
    </row>
    <row r="207" spans="1:1" ht="13">
      <c r="A207" s="70"/>
    </row>
    <row r="208" spans="1:1" ht="13">
      <c r="A208" s="70"/>
    </row>
    <row r="209" spans="1:1" ht="13">
      <c r="A209" s="70"/>
    </row>
    <row r="210" spans="1:1" ht="13">
      <c r="A210" s="70"/>
    </row>
    <row r="211" spans="1:1" ht="13">
      <c r="A211" s="70"/>
    </row>
    <row r="212" spans="1:1" ht="13">
      <c r="A212" s="70"/>
    </row>
    <row r="213" spans="1:1" ht="13">
      <c r="A213" s="70"/>
    </row>
    <row r="214" spans="1:1" ht="13">
      <c r="A214" s="70"/>
    </row>
    <row r="215" spans="1:1" ht="13">
      <c r="A215" s="70"/>
    </row>
    <row r="216" spans="1:1" ht="13">
      <c r="A216" s="70"/>
    </row>
    <row r="217" spans="1:1" ht="13">
      <c r="A217" s="70"/>
    </row>
    <row r="218" spans="1:1" ht="13">
      <c r="A218" s="70"/>
    </row>
    <row r="219" spans="1:1" ht="13">
      <c r="A219" s="70"/>
    </row>
    <row r="220" spans="1:1" ht="13">
      <c r="A220" s="70"/>
    </row>
    <row r="221" spans="1:1" ht="13">
      <c r="A221" s="70"/>
    </row>
    <row r="222" spans="1:1" ht="13">
      <c r="A222" s="70"/>
    </row>
    <row r="223" spans="1:1" ht="13">
      <c r="A223" s="70"/>
    </row>
    <row r="224" spans="1:1" ht="13">
      <c r="A224" s="70"/>
    </row>
    <row r="225" spans="1:1" ht="13">
      <c r="A225" s="70"/>
    </row>
    <row r="226" spans="1:1" ht="13">
      <c r="A226" s="70"/>
    </row>
    <row r="227" spans="1:1" ht="13">
      <c r="A227" s="70"/>
    </row>
    <row r="228" spans="1:1" ht="13">
      <c r="A228" s="70"/>
    </row>
    <row r="229" spans="1:1" ht="13">
      <c r="A229" s="70"/>
    </row>
    <row r="230" spans="1:1" ht="13">
      <c r="A230" s="70"/>
    </row>
    <row r="231" spans="1:1" ht="13">
      <c r="A231" s="70"/>
    </row>
    <row r="232" spans="1:1" ht="13">
      <c r="A232" s="70"/>
    </row>
    <row r="233" spans="1:1" ht="13">
      <c r="A233" s="70"/>
    </row>
    <row r="234" spans="1:1" ht="13">
      <c r="A234" s="70"/>
    </row>
    <row r="235" spans="1:1" ht="13">
      <c r="A235" s="70"/>
    </row>
    <row r="236" spans="1:1" ht="13">
      <c r="A236" s="70"/>
    </row>
    <row r="237" spans="1:1" ht="13">
      <c r="A237" s="70"/>
    </row>
    <row r="238" spans="1:1" ht="13">
      <c r="A238" s="70"/>
    </row>
    <row r="239" spans="1:1" ht="13">
      <c r="A239" s="70"/>
    </row>
    <row r="240" spans="1:1" ht="13">
      <c r="A240" s="70"/>
    </row>
    <row r="241" spans="1:1" ht="13">
      <c r="A241" s="70"/>
    </row>
    <row r="242" spans="1:1" ht="13">
      <c r="A242" s="70"/>
    </row>
    <row r="243" spans="1:1" ht="13">
      <c r="A243" s="70"/>
    </row>
    <row r="244" spans="1:1" ht="13">
      <c r="A244" s="70"/>
    </row>
    <row r="245" spans="1:1" ht="13">
      <c r="A245" s="70"/>
    </row>
    <row r="246" spans="1:1" ht="13">
      <c r="A246" s="70"/>
    </row>
    <row r="247" spans="1:1" ht="13">
      <c r="A247" s="70"/>
    </row>
    <row r="248" spans="1:1" ht="13">
      <c r="A248" s="70"/>
    </row>
    <row r="249" spans="1:1" ht="13">
      <c r="A249" s="70"/>
    </row>
    <row r="250" spans="1:1" ht="13">
      <c r="A250" s="70"/>
    </row>
    <row r="251" spans="1:1" ht="13">
      <c r="A251" s="70"/>
    </row>
    <row r="252" spans="1:1" ht="13">
      <c r="A252" s="70"/>
    </row>
    <row r="253" spans="1:1" ht="13">
      <c r="A253" s="70"/>
    </row>
    <row r="254" spans="1:1" ht="13">
      <c r="A254" s="70"/>
    </row>
    <row r="255" spans="1:1" ht="13">
      <c r="A255" s="70"/>
    </row>
    <row r="256" spans="1:1" ht="13">
      <c r="A256" s="70"/>
    </row>
    <row r="257" spans="1:1" ht="13">
      <c r="A257" s="70"/>
    </row>
    <row r="258" spans="1:1" ht="13">
      <c r="A258" s="70"/>
    </row>
    <row r="259" spans="1:1" ht="13">
      <c r="A259" s="70"/>
    </row>
    <row r="260" spans="1:1" ht="13">
      <c r="A260" s="70"/>
    </row>
    <row r="261" spans="1:1" ht="13">
      <c r="A261" s="70"/>
    </row>
    <row r="262" spans="1:1" ht="13">
      <c r="A262" s="70"/>
    </row>
    <row r="263" spans="1:1" ht="13">
      <c r="A263" s="70"/>
    </row>
    <row r="264" spans="1:1" ht="13">
      <c r="A264" s="70"/>
    </row>
    <row r="265" spans="1:1" ht="13">
      <c r="A265" s="70"/>
    </row>
    <row r="266" spans="1:1" ht="13">
      <c r="A266" s="70"/>
    </row>
    <row r="267" spans="1:1" ht="13">
      <c r="A267" s="70"/>
    </row>
    <row r="268" spans="1:1" ht="13">
      <c r="A268" s="70"/>
    </row>
    <row r="269" spans="1:1" ht="13">
      <c r="A269" s="70"/>
    </row>
    <row r="270" spans="1:1" ht="13">
      <c r="A270" s="70"/>
    </row>
    <row r="271" spans="1:1" ht="13">
      <c r="A271" s="70"/>
    </row>
    <row r="272" spans="1:1" ht="13">
      <c r="A272" s="70"/>
    </row>
    <row r="273" spans="1:1" ht="13">
      <c r="A273" s="70"/>
    </row>
    <row r="274" spans="1:1" ht="13">
      <c r="A274" s="70"/>
    </row>
    <row r="275" spans="1:1" ht="13">
      <c r="A275" s="70"/>
    </row>
    <row r="276" spans="1:1" ht="13">
      <c r="A276" s="70"/>
    </row>
    <row r="277" spans="1:1" ht="13">
      <c r="A277" s="70"/>
    </row>
    <row r="278" spans="1:1" ht="13">
      <c r="A278" s="70"/>
    </row>
    <row r="279" spans="1:1" ht="13">
      <c r="A279" s="70"/>
    </row>
    <row r="280" spans="1:1" ht="13">
      <c r="A280" s="70"/>
    </row>
    <row r="281" spans="1:1" ht="13">
      <c r="A281" s="70"/>
    </row>
    <row r="282" spans="1:1" ht="13">
      <c r="A282" s="70"/>
    </row>
    <row r="283" spans="1:1" ht="13">
      <c r="A283" s="70"/>
    </row>
    <row r="284" spans="1:1" ht="13">
      <c r="A284" s="70"/>
    </row>
    <row r="285" spans="1:1" ht="13">
      <c r="A285" s="70"/>
    </row>
    <row r="286" spans="1:1" ht="13">
      <c r="A286" s="70"/>
    </row>
    <row r="287" spans="1:1" ht="13">
      <c r="A287" s="70"/>
    </row>
    <row r="288" spans="1:1" ht="13">
      <c r="A288" s="70"/>
    </row>
    <row r="289" spans="1:1" ht="13">
      <c r="A289" s="70"/>
    </row>
    <row r="290" spans="1:1" ht="13">
      <c r="A290" s="70"/>
    </row>
    <row r="291" spans="1:1" ht="13">
      <c r="A291" s="70"/>
    </row>
    <row r="292" spans="1:1" ht="13">
      <c r="A292" s="70"/>
    </row>
    <row r="293" spans="1:1" ht="13">
      <c r="A293" s="70"/>
    </row>
    <row r="294" spans="1:1" ht="13">
      <c r="A294" s="70"/>
    </row>
    <row r="295" spans="1:1" ht="13">
      <c r="A295" s="70"/>
    </row>
    <row r="296" spans="1:1" ht="13">
      <c r="A296" s="70"/>
    </row>
    <row r="297" spans="1:1" ht="13">
      <c r="A297" s="70"/>
    </row>
    <row r="298" spans="1:1" ht="13">
      <c r="A298" s="70"/>
    </row>
    <row r="299" spans="1:1" ht="13">
      <c r="A299" s="70"/>
    </row>
    <row r="300" spans="1:1" ht="13">
      <c r="A300" s="70"/>
    </row>
    <row r="301" spans="1:1" ht="13">
      <c r="A301" s="70"/>
    </row>
    <row r="302" spans="1:1" ht="13">
      <c r="A302" s="70"/>
    </row>
    <row r="303" spans="1:1" ht="13">
      <c r="A303" s="70"/>
    </row>
    <row r="304" spans="1:1" ht="13">
      <c r="A304" s="70"/>
    </row>
    <row r="305" spans="1:1" ht="13">
      <c r="A305" s="70"/>
    </row>
    <row r="306" spans="1:1" ht="13">
      <c r="A306" s="70"/>
    </row>
    <row r="307" spans="1:1" ht="13">
      <c r="A307" s="70"/>
    </row>
    <row r="308" spans="1:1" ht="13">
      <c r="A308" s="70"/>
    </row>
    <row r="309" spans="1:1" ht="13">
      <c r="A309" s="70"/>
    </row>
    <row r="310" spans="1:1" ht="13">
      <c r="A310" s="70"/>
    </row>
    <row r="311" spans="1:1" ht="13">
      <c r="A311" s="70"/>
    </row>
    <row r="312" spans="1:1" ht="13">
      <c r="A312" s="70"/>
    </row>
    <row r="313" spans="1:1" ht="13">
      <c r="A313" s="70"/>
    </row>
    <row r="314" spans="1:1" ht="13">
      <c r="A314" s="70"/>
    </row>
    <row r="315" spans="1:1" ht="13">
      <c r="A315" s="70"/>
    </row>
    <row r="316" spans="1:1" ht="13">
      <c r="A316" s="70"/>
    </row>
    <row r="317" spans="1:1" ht="13">
      <c r="A317" s="70"/>
    </row>
    <row r="318" spans="1:1" ht="13">
      <c r="A318" s="70"/>
    </row>
    <row r="319" spans="1:1" ht="13">
      <c r="A319" s="70"/>
    </row>
    <row r="320" spans="1:1" ht="13">
      <c r="A320" s="70"/>
    </row>
    <row r="321" spans="1:1" ht="13">
      <c r="A321" s="70"/>
    </row>
    <row r="322" spans="1:1" ht="13">
      <c r="A322" s="70"/>
    </row>
    <row r="323" spans="1:1" ht="13">
      <c r="A323" s="70"/>
    </row>
    <row r="324" spans="1:1" ht="13">
      <c r="A324" s="70"/>
    </row>
    <row r="325" spans="1:1" ht="13">
      <c r="A325" s="70"/>
    </row>
    <row r="326" spans="1:1" ht="13">
      <c r="A326" s="70"/>
    </row>
    <row r="327" spans="1:1" ht="13">
      <c r="A327" s="70"/>
    </row>
    <row r="328" spans="1:1" ht="13">
      <c r="A328" s="70"/>
    </row>
    <row r="329" spans="1:1" ht="13">
      <c r="A329" s="70"/>
    </row>
    <row r="330" spans="1:1" ht="13">
      <c r="A330" s="70"/>
    </row>
    <row r="331" spans="1:1" ht="13">
      <c r="A331" s="70"/>
    </row>
    <row r="332" spans="1:1" ht="13">
      <c r="A332" s="70"/>
    </row>
    <row r="333" spans="1:1" ht="13">
      <c r="A333" s="70"/>
    </row>
    <row r="334" spans="1:1" ht="13">
      <c r="A334" s="70"/>
    </row>
    <row r="335" spans="1:1" ht="13">
      <c r="A335" s="70"/>
    </row>
    <row r="336" spans="1:1" ht="13">
      <c r="A336" s="70"/>
    </row>
    <row r="337" spans="1:1" ht="13">
      <c r="A337" s="70"/>
    </row>
    <row r="338" spans="1:1" ht="13">
      <c r="A338" s="70"/>
    </row>
    <row r="339" spans="1:1" ht="13">
      <c r="A339" s="70"/>
    </row>
    <row r="340" spans="1:1" ht="13">
      <c r="A340" s="70"/>
    </row>
    <row r="341" spans="1:1" ht="13">
      <c r="A341" s="70"/>
    </row>
    <row r="342" spans="1:1" ht="13">
      <c r="A342" s="70"/>
    </row>
    <row r="343" spans="1:1" ht="13">
      <c r="A343" s="70"/>
    </row>
    <row r="344" spans="1:1" ht="13">
      <c r="A344" s="70"/>
    </row>
    <row r="345" spans="1:1" ht="13">
      <c r="A345" s="70"/>
    </row>
    <row r="346" spans="1:1" ht="13">
      <c r="A346" s="70"/>
    </row>
    <row r="347" spans="1:1" ht="13">
      <c r="A347" s="70"/>
    </row>
    <row r="348" spans="1:1" ht="13">
      <c r="A348" s="70"/>
    </row>
    <row r="349" spans="1:1" ht="13">
      <c r="A349" s="70"/>
    </row>
    <row r="350" spans="1:1" ht="13">
      <c r="A350" s="70"/>
    </row>
    <row r="351" spans="1:1" ht="13">
      <c r="A351" s="70"/>
    </row>
    <row r="352" spans="1:1" ht="13">
      <c r="A352" s="70"/>
    </row>
    <row r="353" spans="1:1" ht="13">
      <c r="A353" s="70"/>
    </row>
    <row r="354" spans="1:1" ht="13">
      <c r="A354" s="70"/>
    </row>
    <row r="355" spans="1:1" ht="13">
      <c r="A355" s="70"/>
    </row>
    <row r="356" spans="1:1" ht="13">
      <c r="A356" s="70"/>
    </row>
    <row r="357" spans="1:1" ht="13">
      <c r="A357" s="70"/>
    </row>
    <row r="358" spans="1:1" ht="13">
      <c r="A358" s="70"/>
    </row>
    <row r="359" spans="1:1" ht="13">
      <c r="A359" s="70"/>
    </row>
    <row r="360" spans="1:1" ht="13">
      <c r="A360" s="70"/>
    </row>
    <row r="361" spans="1:1" ht="13">
      <c r="A361" s="70"/>
    </row>
    <row r="362" spans="1:1" ht="13">
      <c r="A362" s="70"/>
    </row>
    <row r="363" spans="1:1" ht="13">
      <c r="A363" s="70"/>
    </row>
    <row r="364" spans="1:1" ht="13">
      <c r="A364" s="70"/>
    </row>
    <row r="365" spans="1:1" ht="13">
      <c r="A365" s="70"/>
    </row>
    <row r="366" spans="1:1" ht="13">
      <c r="A366" s="70"/>
    </row>
    <row r="367" spans="1:1" ht="13">
      <c r="A367" s="70"/>
    </row>
    <row r="368" spans="1:1" ht="13">
      <c r="A368" s="70"/>
    </row>
    <row r="369" spans="1:1" ht="13">
      <c r="A369" s="70"/>
    </row>
    <row r="370" spans="1:1" ht="13">
      <c r="A370" s="70"/>
    </row>
    <row r="371" spans="1:1" ht="13">
      <c r="A371" s="70"/>
    </row>
    <row r="372" spans="1:1" ht="13">
      <c r="A372" s="70"/>
    </row>
    <row r="373" spans="1:1" ht="13">
      <c r="A373" s="70"/>
    </row>
    <row r="374" spans="1:1" ht="13">
      <c r="A374" s="70"/>
    </row>
    <row r="375" spans="1:1" ht="13">
      <c r="A375" s="70"/>
    </row>
    <row r="376" spans="1:1" ht="13">
      <c r="A376" s="70"/>
    </row>
    <row r="377" spans="1:1" ht="13">
      <c r="A377" s="70"/>
    </row>
    <row r="378" spans="1:1" ht="13">
      <c r="A378" s="70"/>
    </row>
    <row r="379" spans="1:1" ht="13">
      <c r="A379" s="70"/>
    </row>
    <row r="380" spans="1:1" ht="13">
      <c r="A380" s="70"/>
    </row>
    <row r="381" spans="1:1" ht="13">
      <c r="A381" s="70"/>
    </row>
    <row r="382" spans="1:1" ht="13">
      <c r="A382" s="70"/>
    </row>
    <row r="383" spans="1:1" ht="13">
      <c r="A383" s="70"/>
    </row>
    <row r="384" spans="1:1" ht="13">
      <c r="A384" s="70"/>
    </row>
    <row r="385" spans="1:1" ht="13">
      <c r="A385" s="70"/>
    </row>
    <row r="386" spans="1:1" ht="13">
      <c r="A386" s="70"/>
    </row>
    <row r="387" spans="1:1" ht="13">
      <c r="A387" s="70"/>
    </row>
    <row r="388" spans="1:1" ht="13">
      <c r="A388" s="70"/>
    </row>
    <row r="389" spans="1:1" ht="13">
      <c r="A389" s="70"/>
    </row>
    <row r="390" spans="1:1" ht="13">
      <c r="A390" s="70"/>
    </row>
    <row r="391" spans="1:1" ht="13">
      <c r="A391" s="70"/>
    </row>
    <row r="392" spans="1:1" ht="13">
      <c r="A392" s="70"/>
    </row>
    <row r="393" spans="1:1" ht="13">
      <c r="A393" s="70"/>
    </row>
    <row r="394" spans="1:1" ht="13">
      <c r="A394" s="70"/>
    </row>
    <row r="395" spans="1:1" ht="13">
      <c r="A395" s="70"/>
    </row>
    <row r="396" spans="1:1" ht="13">
      <c r="A396" s="70"/>
    </row>
    <row r="397" spans="1:1" ht="13">
      <c r="A397" s="70"/>
    </row>
    <row r="398" spans="1:1" ht="13">
      <c r="A398" s="70"/>
    </row>
    <row r="399" spans="1:1" ht="13">
      <c r="A399" s="70"/>
    </row>
    <row r="400" spans="1:1" ht="13">
      <c r="A400" s="70"/>
    </row>
    <row r="401" spans="1:1" ht="13">
      <c r="A401" s="70"/>
    </row>
    <row r="402" spans="1:1" ht="13">
      <c r="A402" s="70"/>
    </row>
    <row r="403" spans="1:1" ht="13">
      <c r="A403" s="70"/>
    </row>
    <row r="404" spans="1:1" ht="13">
      <c r="A404" s="70"/>
    </row>
    <row r="405" spans="1:1" ht="13">
      <c r="A405" s="70"/>
    </row>
    <row r="406" spans="1:1" ht="13">
      <c r="A406" s="70"/>
    </row>
    <row r="407" spans="1:1" ht="13">
      <c r="A407" s="70"/>
    </row>
    <row r="408" spans="1:1" ht="13">
      <c r="A408" s="70"/>
    </row>
    <row r="409" spans="1:1" ht="13">
      <c r="A409" s="70"/>
    </row>
    <row r="410" spans="1:1" ht="13">
      <c r="A410" s="70"/>
    </row>
    <row r="411" spans="1:1" ht="13">
      <c r="A411" s="70"/>
    </row>
    <row r="412" spans="1:1" ht="13">
      <c r="A412" s="70"/>
    </row>
    <row r="413" spans="1:1" ht="13">
      <c r="A413" s="70"/>
    </row>
    <row r="414" spans="1:1" ht="13">
      <c r="A414" s="70"/>
    </row>
    <row r="415" spans="1:1" ht="13">
      <c r="A415" s="70"/>
    </row>
    <row r="416" spans="1:1" ht="13">
      <c r="A416" s="70"/>
    </row>
    <row r="417" spans="1:1" ht="13">
      <c r="A417" s="70"/>
    </row>
    <row r="418" spans="1:1" ht="13">
      <c r="A418" s="70"/>
    </row>
    <row r="419" spans="1:1" ht="13">
      <c r="A419" s="70"/>
    </row>
    <row r="420" spans="1:1" ht="13">
      <c r="A420" s="70"/>
    </row>
    <row r="421" spans="1:1" ht="13">
      <c r="A421" s="70"/>
    </row>
    <row r="422" spans="1:1" ht="13">
      <c r="A422" s="70"/>
    </row>
    <row r="423" spans="1:1" ht="13">
      <c r="A423" s="70"/>
    </row>
    <row r="424" spans="1:1" ht="13">
      <c r="A424" s="70"/>
    </row>
    <row r="425" spans="1:1" ht="13">
      <c r="A425" s="70"/>
    </row>
    <row r="426" spans="1:1" ht="13">
      <c r="A426" s="70"/>
    </row>
    <row r="427" spans="1:1" ht="13">
      <c r="A427" s="70"/>
    </row>
    <row r="428" spans="1:1" ht="13">
      <c r="A428" s="70"/>
    </row>
    <row r="429" spans="1:1" ht="13">
      <c r="A429" s="70"/>
    </row>
    <row r="430" spans="1:1" ht="13">
      <c r="A430" s="70"/>
    </row>
    <row r="431" spans="1:1" ht="13">
      <c r="A431" s="70"/>
    </row>
    <row r="432" spans="1:1" ht="13">
      <c r="A432" s="70"/>
    </row>
    <row r="433" spans="1:1" ht="13">
      <c r="A433" s="70"/>
    </row>
    <row r="434" spans="1:1" ht="13">
      <c r="A434" s="70"/>
    </row>
    <row r="435" spans="1:1" ht="13">
      <c r="A435" s="70"/>
    </row>
    <row r="436" spans="1:1" ht="13">
      <c r="A436" s="70"/>
    </row>
    <row r="437" spans="1:1" ht="13">
      <c r="A437" s="70"/>
    </row>
    <row r="438" spans="1:1" ht="13">
      <c r="A438" s="70"/>
    </row>
    <row r="439" spans="1:1" ht="13">
      <c r="A439" s="70"/>
    </row>
    <row r="440" spans="1:1" ht="13">
      <c r="A440" s="70"/>
    </row>
    <row r="441" spans="1:1" ht="13">
      <c r="A441" s="70"/>
    </row>
    <row r="442" spans="1:1" ht="13">
      <c r="A442" s="70"/>
    </row>
    <row r="443" spans="1:1" ht="13">
      <c r="A443" s="70"/>
    </row>
    <row r="444" spans="1:1" ht="13">
      <c r="A444" s="70"/>
    </row>
    <row r="445" spans="1:1" ht="13">
      <c r="A445" s="70"/>
    </row>
    <row r="446" spans="1:1" ht="13">
      <c r="A446" s="70"/>
    </row>
    <row r="447" spans="1:1" ht="13">
      <c r="A447" s="70"/>
    </row>
    <row r="448" spans="1:1" ht="13">
      <c r="A448" s="70"/>
    </row>
    <row r="449" spans="1:1" ht="13">
      <c r="A449" s="70"/>
    </row>
    <row r="450" spans="1:1" ht="13">
      <c r="A450" s="70"/>
    </row>
    <row r="451" spans="1:1" ht="13">
      <c r="A451" s="70"/>
    </row>
    <row r="452" spans="1:1" ht="13">
      <c r="A452" s="70"/>
    </row>
    <row r="453" spans="1:1" ht="13">
      <c r="A453" s="70"/>
    </row>
    <row r="454" spans="1:1" ht="13">
      <c r="A454" s="70"/>
    </row>
    <row r="455" spans="1:1" ht="13">
      <c r="A455" s="70"/>
    </row>
    <row r="456" spans="1:1" ht="13">
      <c r="A456" s="70"/>
    </row>
    <row r="457" spans="1:1" ht="13">
      <c r="A457" s="70"/>
    </row>
    <row r="458" spans="1:1" ht="13">
      <c r="A458" s="70"/>
    </row>
    <row r="459" spans="1:1" ht="13">
      <c r="A459" s="70"/>
    </row>
    <row r="460" spans="1:1" ht="13">
      <c r="A460" s="70"/>
    </row>
    <row r="461" spans="1:1" ht="13">
      <c r="A461" s="70"/>
    </row>
    <row r="462" spans="1:1" ht="13">
      <c r="A462" s="70"/>
    </row>
    <row r="463" spans="1:1" ht="13">
      <c r="A463" s="70"/>
    </row>
    <row r="464" spans="1:1" ht="13">
      <c r="A464" s="70"/>
    </row>
    <row r="465" spans="1:1" ht="13">
      <c r="A465" s="70"/>
    </row>
    <row r="466" spans="1:1" ht="13">
      <c r="A466" s="70"/>
    </row>
    <row r="467" spans="1:1" ht="13">
      <c r="A467" s="70"/>
    </row>
    <row r="468" spans="1:1" ht="13">
      <c r="A468" s="70"/>
    </row>
    <row r="469" spans="1:1" ht="13">
      <c r="A469" s="70"/>
    </row>
    <row r="470" spans="1:1" ht="13">
      <c r="A470" s="70"/>
    </row>
    <row r="471" spans="1:1" ht="13">
      <c r="A471" s="70"/>
    </row>
    <row r="472" spans="1:1" ht="13">
      <c r="A472" s="70"/>
    </row>
    <row r="473" spans="1:1" ht="13">
      <c r="A473" s="70"/>
    </row>
    <row r="474" spans="1:1" ht="13">
      <c r="A474" s="70"/>
    </row>
    <row r="475" spans="1:1" ht="13">
      <c r="A475" s="70"/>
    </row>
    <row r="476" spans="1:1" ht="13">
      <c r="A476" s="70"/>
    </row>
    <row r="477" spans="1:1" ht="13">
      <c r="A477" s="70"/>
    </row>
    <row r="478" spans="1:1" ht="13">
      <c r="A478" s="70"/>
    </row>
    <row r="479" spans="1:1" ht="13">
      <c r="A479" s="70"/>
    </row>
    <row r="480" spans="1:1" ht="13">
      <c r="A480" s="70"/>
    </row>
    <row r="481" spans="1:1" ht="13">
      <c r="A481" s="70"/>
    </row>
    <row r="482" spans="1:1" ht="13">
      <c r="A482" s="70"/>
    </row>
    <row r="483" spans="1:1" ht="13">
      <c r="A483" s="70"/>
    </row>
    <row r="484" spans="1:1" ht="13">
      <c r="A484" s="70"/>
    </row>
    <row r="485" spans="1:1" ht="13">
      <c r="A485" s="70"/>
    </row>
    <row r="486" spans="1:1" ht="13">
      <c r="A486" s="70"/>
    </row>
    <row r="487" spans="1:1" ht="13">
      <c r="A487" s="70"/>
    </row>
    <row r="488" spans="1:1" ht="13">
      <c r="A488" s="70"/>
    </row>
    <row r="489" spans="1:1" ht="13">
      <c r="A489" s="70"/>
    </row>
    <row r="490" spans="1:1" ht="13">
      <c r="A490" s="70"/>
    </row>
    <row r="491" spans="1:1" ht="13">
      <c r="A491" s="70"/>
    </row>
    <row r="492" spans="1:1" ht="13">
      <c r="A492" s="70"/>
    </row>
    <row r="493" spans="1:1" ht="13">
      <c r="A493" s="70"/>
    </row>
    <row r="494" spans="1:1" ht="13">
      <c r="A494" s="70"/>
    </row>
    <row r="495" spans="1:1" ht="13">
      <c r="A495" s="70"/>
    </row>
    <row r="496" spans="1:1" ht="13">
      <c r="A496" s="70"/>
    </row>
    <row r="497" spans="1:1" ht="13">
      <c r="A497" s="70"/>
    </row>
    <row r="498" spans="1:1" ht="13">
      <c r="A498" s="70"/>
    </row>
    <row r="499" spans="1:1" ht="13">
      <c r="A499" s="70"/>
    </row>
    <row r="500" spans="1:1" ht="13">
      <c r="A500" s="70"/>
    </row>
    <row r="501" spans="1:1" ht="13">
      <c r="A501" s="70"/>
    </row>
    <row r="502" spans="1:1" ht="13">
      <c r="A502" s="70"/>
    </row>
    <row r="503" spans="1:1" ht="13">
      <c r="A503" s="70"/>
    </row>
    <row r="504" spans="1:1" ht="13">
      <c r="A504" s="70"/>
    </row>
    <row r="505" spans="1:1" ht="13">
      <c r="A505" s="70"/>
    </row>
    <row r="506" spans="1:1" ht="13">
      <c r="A506" s="70"/>
    </row>
    <row r="507" spans="1:1" ht="13">
      <c r="A507" s="70"/>
    </row>
    <row r="508" spans="1:1" ht="13">
      <c r="A508" s="70"/>
    </row>
    <row r="509" spans="1:1" ht="13">
      <c r="A509" s="70"/>
    </row>
    <row r="510" spans="1:1" ht="13">
      <c r="A510" s="70"/>
    </row>
    <row r="511" spans="1:1" ht="13">
      <c r="A511" s="70"/>
    </row>
    <row r="512" spans="1:1" ht="13">
      <c r="A512" s="70"/>
    </row>
    <row r="513" spans="1:1" ht="13">
      <c r="A513" s="70"/>
    </row>
    <row r="514" spans="1:1" ht="13">
      <c r="A514" s="70"/>
    </row>
    <row r="515" spans="1:1" ht="13">
      <c r="A515" s="70"/>
    </row>
    <row r="516" spans="1:1" ht="13">
      <c r="A516" s="70"/>
    </row>
    <row r="517" spans="1:1" ht="13">
      <c r="A517" s="70"/>
    </row>
    <row r="518" spans="1:1" ht="13">
      <c r="A518" s="70"/>
    </row>
    <row r="519" spans="1:1" ht="13">
      <c r="A519" s="70"/>
    </row>
    <row r="520" spans="1:1" ht="13">
      <c r="A520" s="70"/>
    </row>
    <row r="521" spans="1:1" ht="13">
      <c r="A521" s="70"/>
    </row>
    <row r="522" spans="1:1" ht="13">
      <c r="A522" s="70"/>
    </row>
    <row r="523" spans="1:1" ht="13">
      <c r="A523" s="70"/>
    </row>
    <row r="524" spans="1:1" ht="13">
      <c r="A524" s="70"/>
    </row>
    <row r="525" spans="1:1" ht="13">
      <c r="A525" s="70"/>
    </row>
    <row r="526" spans="1:1" ht="13">
      <c r="A526" s="70"/>
    </row>
    <row r="527" spans="1:1" ht="13">
      <c r="A527" s="70"/>
    </row>
    <row r="528" spans="1:1" ht="13">
      <c r="A528" s="70"/>
    </row>
    <row r="529" spans="1:1" ht="13">
      <c r="A529" s="70"/>
    </row>
    <row r="530" spans="1:1" ht="13">
      <c r="A530" s="70"/>
    </row>
    <row r="531" spans="1:1" ht="13">
      <c r="A531" s="70"/>
    </row>
    <row r="532" spans="1:1" ht="13">
      <c r="A532" s="70"/>
    </row>
    <row r="533" spans="1:1" ht="13">
      <c r="A533" s="70"/>
    </row>
    <row r="534" spans="1:1" ht="13">
      <c r="A534" s="70"/>
    </row>
    <row r="535" spans="1:1" ht="13">
      <c r="A535" s="70"/>
    </row>
    <row r="536" spans="1:1" ht="13">
      <c r="A536" s="70"/>
    </row>
    <row r="537" spans="1:1" ht="13">
      <c r="A537" s="70"/>
    </row>
    <row r="538" spans="1:1" ht="13">
      <c r="A538" s="70"/>
    </row>
    <row r="539" spans="1:1" ht="13">
      <c r="A539" s="70"/>
    </row>
    <row r="540" spans="1:1" ht="13">
      <c r="A540" s="70"/>
    </row>
    <row r="541" spans="1:1" ht="13">
      <c r="A541" s="70"/>
    </row>
    <row r="542" spans="1:1" ht="13">
      <c r="A542" s="70"/>
    </row>
    <row r="543" spans="1:1" ht="13">
      <c r="A543" s="70"/>
    </row>
    <row r="544" spans="1:1" ht="13">
      <c r="A544" s="70"/>
    </row>
    <row r="545" spans="1:1" ht="13">
      <c r="A545" s="70"/>
    </row>
    <row r="546" spans="1:1" ht="13">
      <c r="A546" s="70"/>
    </row>
    <row r="547" spans="1:1" ht="13">
      <c r="A547" s="70"/>
    </row>
    <row r="548" spans="1:1" ht="13">
      <c r="A548" s="70"/>
    </row>
    <row r="549" spans="1:1" ht="13">
      <c r="A549" s="70"/>
    </row>
    <row r="550" spans="1:1" ht="13">
      <c r="A550" s="70"/>
    </row>
    <row r="551" spans="1:1" ht="13">
      <c r="A551" s="70"/>
    </row>
    <row r="552" spans="1:1" ht="13">
      <c r="A552" s="70"/>
    </row>
    <row r="553" spans="1:1" ht="13">
      <c r="A553" s="70"/>
    </row>
    <row r="554" spans="1:1" ht="13">
      <c r="A554" s="70"/>
    </row>
    <row r="555" spans="1:1" ht="13">
      <c r="A555" s="70"/>
    </row>
    <row r="556" spans="1:1" ht="13">
      <c r="A556" s="70"/>
    </row>
    <row r="557" spans="1:1" ht="13">
      <c r="A557" s="70"/>
    </row>
    <row r="558" spans="1:1" ht="13">
      <c r="A558" s="70"/>
    </row>
    <row r="559" spans="1:1" ht="13">
      <c r="A559" s="70"/>
    </row>
    <row r="560" spans="1:1" ht="13">
      <c r="A560" s="70"/>
    </row>
    <row r="561" spans="1:1" ht="13">
      <c r="A561" s="70"/>
    </row>
    <row r="562" spans="1:1" ht="13">
      <c r="A562" s="70"/>
    </row>
    <row r="563" spans="1:1" ht="13">
      <c r="A563" s="70"/>
    </row>
    <row r="564" spans="1:1" ht="13">
      <c r="A564" s="70"/>
    </row>
    <row r="565" spans="1:1" ht="13">
      <c r="A565" s="70"/>
    </row>
    <row r="566" spans="1:1" ht="13">
      <c r="A566" s="70"/>
    </row>
    <row r="567" spans="1:1" ht="13">
      <c r="A567" s="70"/>
    </row>
    <row r="568" spans="1:1" ht="13">
      <c r="A568" s="70"/>
    </row>
    <row r="569" spans="1:1" ht="13">
      <c r="A569" s="70"/>
    </row>
    <row r="570" spans="1:1" ht="13">
      <c r="A570" s="70"/>
    </row>
    <row r="571" spans="1:1" ht="13">
      <c r="A571" s="70"/>
    </row>
    <row r="572" spans="1:1" ht="13">
      <c r="A572" s="70"/>
    </row>
    <row r="573" spans="1:1" ht="13">
      <c r="A573" s="70"/>
    </row>
    <row r="574" spans="1:1" ht="13">
      <c r="A574" s="70"/>
    </row>
    <row r="575" spans="1:1" ht="13">
      <c r="A575" s="70"/>
    </row>
    <row r="576" spans="1:1" ht="13">
      <c r="A576" s="70"/>
    </row>
    <row r="577" spans="1:1" ht="13">
      <c r="A577" s="70"/>
    </row>
    <row r="578" spans="1:1" ht="13">
      <c r="A578" s="70"/>
    </row>
    <row r="579" spans="1:1" ht="13">
      <c r="A579" s="70"/>
    </row>
    <row r="580" spans="1:1" ht="13">
      <c r="A580" s="70"/>
    </row>
    <row r="581" spans="1:1" ht="13">
      <c r="A581" s="70"/>
    </row>
    <row r="582" spans="1:1" ht="13">
      <c r="A582" s="70"/>
    </row>
    <row r="583" spans="1:1" ht="13">
      <c r="A583" s="70"/>
    </row>
    <row r="584" spans="1:1" ht="13">
      <c r="A584" s="70"/>
    </row>
    <row r="585" spans="1:1" ht="13">
      <c r="A585" s="70"/>
    </row>
    <row r="586" spans="1:1" ht="13">
      <c r="A586" s="70"/>
    </row>
    <row r="587" spans="1:1" ht="13">
      <c r="A587" s="70"/>
    </row>
    <row r="588" spans="1:1" ht="13">
      <c r="A588" s="70"/>
    </row>
    <row r="589" spans="1:1" ht="13">
      <c r="A589" s="70"/>
    </row>
    <row r="590" spans="1:1" ht="13">
      <c r="A590" s="70"/>
    </row>
    <row r="591" spans="1:1" ht="13">
      <c r="A591" s="70"/>
    </row>
    <row r="592" spans="1:1" ht="13">
      <c r="A592" s="70"/>
    </row>
    <row r="593" spans="1:1" ht="13">
      <c r="A593" s="70"/>
    </row>
    <row r="594" spans="1:1" ht="13">
      <c r="A594" s="70"/>
    </row>
    <row r="595" spans="1:1" ht="13">
      <c r="A595" s="70"/>
    </row>
    <row r="596" spans="1:1" ht="13">
      <c r="A596" s="70"/>
    </row>
    <row r="597" spans="1:1" ht="13">
      <c r="A597" s="70"/>
    </row>
    <row r="598" spans="1:1" ht="13">
      <c r="A598" s="70"/>
    </row>
    <row r="599" spans="1:1" ht="13">
      <c r="A599" s="70"/>
    </row>
    <row r="600" spans="1:1" ht="13">
      <c r="A600" s="70"/>
    </row>
    <row r="601" spans="1:1" ht="13">
      <c r="A601" s="70"/>
    </row>
    <row r="602" spans="1:1" ht="13">
      <c r="A602" s="70"/>
    </row>
    <row r="603" spans="1:1" ht="13">
      <c r="A603" s="70"/>
    </row>
    <row r="604" spans="1:1" ht="13">
      <c r="A604" s="70"/>
    </row>
    <row r="605" spans="1:1" ht="13">
      <c r="A605" s="70"/>
    </row>
    <row r="606" spans="1:1" ht="13">
      <c r="A606" s="70"/>
    </row>
    <row r="607" spans="1:1" ht="13">
      <c r="A607" s="70"/>
    </row>
    <row r="608" spans="1:1" ht="13">
      <c r="A608" s="70"/>
    </row>
    <row r="609" spans="1:1" ht="13">
      <c r="A609" s="70"/>
    </row>
    <row r="610" spans="1:1" ht="13">
      <c r="A610" s="70"/>
    </row>
    <row r="611" spans="1:1" ht="13">
      <c r="A611" s="70"/>
    </row>
    <row r="612" spans="1:1" ht="13">
      <c r="A612" s="70"/>
    </row>
    <row r="613" spans="1:1" ht="13">
      <c r="A613" s="70"/>
    </row>
    <row r="614" spans="1:1" ht="13">
      <c r="A614" s="70"/>
    </row>
    <row r="615" spans="1:1" ht="13">
      <c r="A615" s="70"/>
    </row>
    <row r="616" spans="1:1" ht="13">
      <c r="A616" s="70"/>
    </row>
    <row r="617" spans="1:1" ht="13">
      <c r="A617" s="70"/>
    </row>
    <row r="618" spans="1:1" ht="13">
      <c r="A618" s="70"/>
    </row>
    <row r="619" spans="1:1" ht="13">
      <c r="A619" s="70"/>
    </row>
    <row r="620" spans="1:1" ht="13">
      <c r="A620" s="70"/>
    </row>
    <row r="621" spans="1:1" ht="13">
      <c r="A621" s="70"/>
    </row>
    <row r="622" spans="1:1" ht="13">
      <c r="A622" s="70"/>
    </row>
    <row r="623" spans="1:1" ht="13">
      <c r="A623" s="70"/>
    </row>
    <row r="624" spans="1:1" ht="13">
      <c r="A624" s="70"/>
    </row>
    <row r="625" spans="1:1" ht="13">
      <c r="A625" s="70"/>
    </row>
    <row r="626" spans="1:1" ht="13">
      <c r="A626" s="70"/>
    </row>
    <row r="627" spans="1:1" ht="13">
      <c r="A627" s="70"/>
    </row>
    <row r="628" spans="1:1" ht="13">
      <c r="A628" s="70"/>
    </row>
    <row r="629" spans="1:1" ht="13">
      <c r="A629" s="70"/>
    </row>
    <row r="630" spans="1:1" ht="13">
      <c r="A630" s="70"/>
    </row>
    <row r="631" spans="1:1" ht="13">
      <c r="A631" s="70"/>
    </row>
    <row r="632" spans="1:1" ht="13">
      <c r="A632" s="70"/>
    </row>
    <row r="633" spans="1:1" ht="13">
      <c r="A633" s="70"/>
    </row>
    <row r="634" spans="1:1" ht="13">
      <c r="A634" s="70"/>
    </row>
    <row r="635" spans="1:1" ht="13">
      <c r="A635" s="70"/>
    </row>
    <row r="636" spans="1:1" ht="13">
      <c r="A636" s="70"/>
    </row>
    <row r="637" spans="1:1" ht="13">
      <c r="A637" s="70"/>
    </row>
    <row r="638" spans="1:1" ht="13">
      <c r="A638" s="70"/>
    </row>
    <row r="639" spans="1:1" ht="13">
      <c r="A639" s="70"/>
    </row>
    <row r="640" spans="1:1" ht="13">
      <c r="A640" s="70"/>
    </row>
    <row r="641" spans="1:1" ht="13">
      <c r="A641" s="70"/>
    </row>
    <row r="642" spans="1:1" ht="13">
      <c r="A642" s="70"/>
    </row>
    <row r="643" spans="1:1" ht="13">
      <c r="A643" s="70"/>
    </row>
    <row r="644" spans="1:1" ht="13">
      <c r="A644" s="70"/>
    </row>
    <row r="645" spans="1:1" ht="13">
      <c r="A645" s="70"/>
    </row>
    <row r="646" spans="1:1" ht="13">
      <c r="A646" s="70"/>
    </row>
    <row r="647" spans="1:1" ht="13">
      <c r="A647" s="70"/>
    </row>
    <row r="648" spans="1:1" ht="13">
      <c r="A648" s="70"/>
    </row>
    <row r="649" spans="1:1" ht="13">
      <c r="A649" s="70"/>
    </row>
    <row r="650" spans="1:1" ht="13">
      <c r="A650" s="70"/>
    </row>
    <row r="651" spans="1:1" ht="13">
      <c r="A651" s="70"/>
    </row>
    <row r="652" spans="1:1" ht="13">
      <c r="A652" s="70"/>
    </row>
    <row r="653" spans="1:1" ht="13">
      <c r="A653" s="70"/>
    </row>
    <row r="654" spans="1:1" ht="13">
      <c r="A654" s="70"/>
    </row>
    <row r="655" spans="1:1" ht="13">
      <c r="A655" s="70"/>
    </row>
    <row r="656" spans="1:1" ht="13">
      <c r="A656" s="70"/>
    </row>
    <row r="657" spans="1:1" ht="13">
      <c r="A657" s="70"/>
    </row>
    <row r="658" spans="1:1" ht="13">
      <c r="A658" s="70"/>
    </row>
    <row r="659" spans="1:1" ht="13">
      <c r="A659" s="70"/>
    </row>
    <row r="660" spans="1:1" ht="13">
      <c r="A660" s="70"/>
    </row>
    <row r="661" spans="1:1" ht="13">
      <c r="A661" s="70"/>
    </row>
    <row r="662" spans="1:1" ht="13">
      <c r="A662" s="70"/>
    </row>
    <row r="663" spans="1:1" ht="13">
      <c r="A663" s="70"/>
    </row>
    <row r="664" spans="1:1" ht="13">
      <c r="A664" s="70"/>
    </row>
    <row r="665" spans="1:1" ht="13">
      <c r="A665" s="70"/>
    </row>
    <row r="666" spans="1:1" ht="13">
      <c r="A666" s="70"/>
    </row>
    <row r="667" spans="1:1" ht="13">
      <c r="A667" s="70"/>
    </row>
    <row r="668" spans="1:1" ht="13">
      <c r="A668" s="70"/>
    </row>
    <row r="669" spans="1:1" ht="13">
      <c r="A669" s="70"/>
    </row>
    <row r="670" spans="1:1" ht="13">
      <c r="A670" s="70"/>
    </row>
    <row r="671" spans="1:1" ht="13">
      <c r="A671" s="70"/>
    </row>
    <row r="672" spans="1:1" ht="13">
      <c r="A672" s="70"/>
    </row>
    <row r="673" spans="1:1" ht="13">
      <c r="A673" s="70"/>
    </row>
    <row r="674" spans="1:1" ht="13">
      <c r="A674" s="70"/>
    </row>
    <row r="675" spans="1:1" ht="13">
      <c r="A675" s="70"/>
    </row>
    <row r="676" spans="1:1" ht="13">
      <c r="A676" s="70"/>
    </row>
    <row r="677" spans="1:1" ht="13">
      <c r="A677" s="70"/>
    </row>
    <row r="678" spans="1:1" ht="13">
      <c r="A678" s="70"/>
    </row>
    <row r="679" spans="1:1" ht="13">
      <c r="A679" s="70"/>
    </row>
    <row r="680" spans="1:1" ht="13">
      <c r="A680" s="70"/>
    </row>
    <row r="681" spans="1:1" ht="13">
      <c r="A681" s="70"/>
    </row>
    <row r="682" spans="1:1" ht="13">
      <c r="A682" s="70"/>
    </row>
    <row r="683" spans="1:1" ht="13">
      <c r="A683" s="70"/>
    </row>
    <row r="684" spans="1:1" ht="13">
      <c r="A684" s="70"/>
    </row>
    <row r="685" spans="1:1" ht="13">
      <c r="A685" s="70"/>
    </row>
    <row r="686" spans="1:1" ht="13">
      <c r="A686" s="70"/>
    </row>
    <row r="687" spans="1:1" ht="13">
      <c r="A687" s="70"/>
    </row>
    <row r="688" spans="1:1" ht="13">
      <c r="A688" s="70"/>
    </row>
    <row r="689" spans="1:1" ht="13">
      <c r="A689" s="70"/>
    </row>
    <row r="690" spans="1:1" ht="13">
      <c r="A690" s="70"/>
    </row>
    <row r="691" spans="1:1" ht="13">
      <c r="A691" s="70"/>
    </row>
    <row r="692" spans="1:1" ht="13">
      <c r="A692" s="70"/>
    </row>
    <row r="693" spans="1:1" ht="13">
      <c r="A693" s="70"/>
    </row>
    <row r="694" spans="1:1" ht="13">
      <c r="A694" s="70"/>
    </row>
    <row r="695" spans="1:1" ht="13">
      <c r="A695" s="70"/>
    </row>
    <row r="696" spans="1:1" ht="13">
      <c r="A696" s="70"/>
    </row>
    <row r="697" spans="1:1" ht="13">
      <c r="A697" s="70"/>
    </row>
    <row r="698" spans="1:1" ht="13">
      <c r="A698" s="70"/>
    </row>
    <row r="699" spans="1:1" ht="13">
      <c r="A699" s="70"/>
    </row>
    <row r="700" spans="1:1" ht="13">
      <c r="A700" s="70"/>
    </row>
    <row r="701" spans="1:1" ht="13">
      <c r="A701" s="70"/>
    </row>
    <row r="702" spans="1:1" ht="13">
      <c r="A702" s="70"/>
    </row>
    <row r="703" spans="1:1" ht="13">
      <c r="A703" s="70"/>
    </row>
    <row r="704" spans="1:1" ht="13">
      <c r="A704" s="70"/>
    </row>
    <row r="705" spans="1:1" ht="13">
      <c r="A705" s="70"/>
    </row>
    <row r="706" spans="1:1" ht="13">
      <c r="A706" s="70"/>
    </row>
    <row r="707" spans="1:1" ht="13">
      <c r="A707" s="70"/>
    </row>
    <row r="708" spans="1:1" ht="13">
      <c r="A708" s="70"/>
    </row>
    <row r="709" spans="1:1" ht="13">
      <c r="A709" s="70"/>
    </row>
    <row r="710" spans="1:1" ht="13">
      <c r="A710" s="70"/>
    </row>
    <row r="711" spans="1:1" ht="13">
      <c r="A711" s="70"/>
    </row>
    <row r="712" spans="1:1" ht="13">
      <c r="A712" s="70"/>
    </row>
    <row r="713" spans="1:1" ht="13">
      <c r="A713" s="70"/>
    </row>
    <row r="714" spans="1:1" ht="13">
      <c r="A714" s="70"/>
    </row>
    <row r="715" spans="1:1" ht="13">
      <c r="A715" s="70"/>
    </row>
    <row r="716" spans="1:1" ht="13">
      <c r="A716" s="70"/>
    </row>
    <row r="717" spans="1:1" ht="13">
      <c r="A717" s="70"/>
    </row>
    <row r="718" spans="1:1" ht="13">
      <c r="A718" s="70"/>
    </row>
    <row r="719" spans="1:1" ht="13">
      <c r="A719" s="70"/>
    </row>
    <row r="720" spans="1:1" ht="13">
      <c r="A720" s="70"/>
    </row>
    <row r="721" spans="1:1" ht="13">
      <c r="A721" s="70"/>
    </row>
    <row r="722" spans="1:1" ht="13">
      <c r="A722" s="70"/>
    </row>
    <row r="723" spans="1:1" ht="13">
      <c r="A723" s="70"/>
    </row>
    <row r="724" spans="1:1" ht="13">
      <c r="A724" s="70"/>
    </row>
    <row r="725" spans="1:1" ht="13">
      <c r="A725" s="70"/>
    </row>
    <row r="726" spans="1:1" ht="13">
      <c r="A726" s="70"/>
    </row>
    <row r="727" spans="1:1" ht="13">
      <c r="A727" s="70"/>
    </row>
    <row r="728" spans="1:1" ht="13">
      <c r="A728" s="70"/>
    </row>
    <row r="729" spans="1:1" ht="13">
      <c r="A729" s="70"/>
    </row>
    <row r="730" spans="1:1" ht="13">
      <c r="A730" s="70"/>
    </row>
    <row r="731" spans="1:1" ht="13">
      <c r="A731" s="70"/>
    </row>
    <row r="732" spans="1:1" ht="13">
      <c r="A732" s="70"/>
    </row>
    <row r="733" spans="1:1" ht="13">
      <c r="A733" s="70"/>
    </row>
    <row r="734" spans="1:1" ht="13">
      <c r="A734" s="70"/>
    </row>
    <row r="735" spans="1:1" ht="13">
      <c r="A735" s="70"/>
    </row>
    <row r="736" spans="1:1" ht="13">
      <c r="A736" s="70"/>
    </row>
    <row r="737" spans="1:1" ht="13">
      <c r="A737" s="70"/>
    </row>
    <row r="738" spans="1:1" ht="13">
      <c r="A738" s="70"/>
    </row>
    <row r="739" spans="1:1" ht="13">
      <c r="A739" s="70"/>
    </row>
    <row r="740" spans="1:1" ht="13">
      <c r="A740" s="70"/>
    </row>
    <row r="741" spans="1:1" ht="13">
      <c r="A741" s="70"/>
    </row>
    <row r="742" spans="1:1" ht="13">
      <c r="A742" s="70"/>
    </row>
    <row r="743" spans="1:1" ht="13">
      <c r="A743" s="70"/>
    </row>
    <row r="744" spans="1:1" ht="13">
      <c r="A744" s="70"/>
    </row>
    <row r="745" spans="1:1" ht="13">
      <c r="A745" s="70"/>
    </row>
    <row r="746" spans="1:1" ht="13">
      <c r="A746" s="70"/>
    </row>
    <row r="747" spans="1:1" ht="13">
      <c r="A747" s="70"/>
    </row>
    <row r="748" spans="1:1" ht="13">
      <c r="A748" s="70"/>
    </row>
    <row r="749" spans="1:1" ht="13">
      <c r="A749" s="70"/>
    </row>
    <row r="750" spans="1:1" ht="13">
      <c r="A750" s="70"/>
    </row>
    <row r="751" spans="1:1" ht="13">
      <c r="A751" s="70"/>
    </row>
    <row r="752" spans="1:1" ht="13">
      <c r="A752" s="70"/>
    </row>
    <row r="753" spans="1:1" ht="13">
      <c r="A753" s="70"/>
    </row>
    <row r="754" spans="1:1" ht="13">
      <c r="A754" s="70"/>
    </row>
    <row r="755" spans="1:1" ht="13">
      <c r="A755" s="70"/>
    </row>
    <row r="756" spans="1:1" ht="13">
      <c r="A756" s="70"/>
    </row>
    <row r="757" spans="1:1" ht="13">
      <c r="A757" s="70"/>
    </row>
    <row r="758" spans="1:1" ht="13">
      <c r="A758" s="70"/>
    </row>
    <row r="759" spans="1:1" ht="13">
      <c r="A759" s="70"/>
    </row>
    <row r="760" spans="1:1" ht="13">
      <c r="A760" s="70"/>
    </row>
    <row r="761" spans="1:1" ht="13">
      <c r="A761" s="70"/>
    </row>
    <row r="762" spans="1:1" ht="13">
      <c r="A762" s="70"/>
    </row>
    <row r="763" spans="1:1" ht="13">
      <c r="A763" s="70"/>
    </row>
    <row r="764" spans="1:1" ht="13">
      <c r="A764" s="70"/>
    </row>
    <row r="765" spans="1:1" ht="13">
      <c r="A765" s="70"/>
    </row>
    <row r="766" spans="1:1" ht="13">
      <c r="A766" s="70"/>
    </row>
    <row r="767" spans="1:1" ht="13">
      <c r="A767" s="70"/>
    </row>
    <row r="768" spans="1:1" ht="13">
      <c r="A768" s="70"/>
    </row>
    <row r="769" spans="1:1" ht="13">
      <c r="A769" s="70"/>
    </row>
    <row r="770" spans="1:1" ht="13">
      <c r="A770" s="70"/>
    </row>
    <row r="771" spans="1:1" ht="13">
      <c r="A771" s="70"/>
    </row>
    <row r="772" spans="1:1" ht="13">
      <c r="A772" s="70"/>
    </row>
    <row r="773" spans="1:1" ht="13">
      <c r="A773" s="70"/>
    </row>
    <row r="774" spans="1:1" ht="13">
      <c r="A774" s="70"/>
    </row>
    <row r="775" spans="1:1" ht="13">
      <c r="A775" s="70"/>
    </row>
    <row r="776" spans="1:1" ht="13">
      <c r="A776" s="70"/>
    </row>
    <row r="777" spans="1:1" ht="13">
      <c r="A777" s="70"/>
    </row>
    <row r="778" spans="1:1" ht="13">
      <c r="A778" s="70"/>
    </row>
    <row r="779" spans="1:1" ht="13">
      <c r="A779" s="70"/>
    </row>
    <row r="780" spans="1:1" ht="13">
      <c r="A780" s="70"/>
    </row>
    <row r="781" spans="1:1" ht="13">
      <c r="A781" s="70"/>
    </row>
    <row r="782" spans="1:1" ht="13">
      <c r="A782" s="70"/>
    </row>
    <row r="783" spans="1:1" ht="13">
      <c r="A783" s="70"/>
    </row>
    <row r="784" spans="1:1" ht="13">
      <c r="A784" s="70"/>
    </row>
    <row r="785" spans="1:1" ht="13">
      <c r="A785" s="70"/>
    </row>
    <row r="786" spans="1:1" ht="13">
      <c r="A786" s="70"/>
    </row>
    <row r="787" spans="1:1" ht="13">
      <c r="A787" s="70"/>
    </row>
    <row r="788" spans="1:1" ht="13">
      <c r="A788" s="70"/>
    </row>
    <row r="789" spans="1:1" ht="13">
      <c r="A789" s="70"/>
    </row>
    <row r="790" spans="1:1" ht="13">
      <c r="A790" s="70"/>
    </row>
    <row r="791" spans="1:1" ht="13">
      <c r="A791" s="70"/>
    </row>
    <row r="792" spans="1:1" ht="13">
      <c r="A792" s="70"/>
    </row>
    <row r="793" spans="1:1" ht="13">
      <c r="A793" s="70"/>
    </row>
    <row r="794" spans="1:1" ht="13">
      <c r="A794" s="70"/>
    </row>
    <row r="795" spans="1:1" ht="13">
      <c r="A795" s="70"/>
    </row>
    <row r="796" spans="1:1" ht="13">
      <c r="A796" s="70"/>
    </row>
    <row r="797" spans="1:1" ht="13">
      <c r="A797" s="70"/>
    </row>
    <row r="798" spans="1:1" ht="13">
      <c r="A798" s="70"/>
    </row>
    <row r="799" spans="1:1" ht="13">
      <c r="A799" s="70"/>
    </row>
    <row r="800" spans="1:1" ht="13">
      <c r="A800" s="70"/>
    </row>
    <row r="801" spans="1:1" ht="13">
      <c r="A801" s="70"/>
    </row>
    <row r="802" spans="1:1" ht="13">
      <c r="A802" s="70"/>
    </row>
    <row r="803" spans="1:1" ht="13">
      <c r="A803" s="70"/>
    </row>
    <row r="804" spans="1:1" ht="13">
      <c r="A804" s="70"/>
    </row>
    <row r="805" spans="1:1" ht="13">
      <c r="A805" s="70"/>
    </row>
    <row r="806" spans="1:1" ht="13">
      <c r="A806" s="70"/>
    </row>
    <row r="807" spans="1:1" ht="13">
      <c r="A807" s="70"/>
    </row>
    <row r="808" spans="1:1" ht="13">
      <c r="A808" s="70"/>
    </row>
    <row r="809" spans="1:1" ht="13">
      <c r="A809" s="70"/>
    </row>
    <row r="810" spans="1:1" ht="13">
      <c r="A810" s="70"/>
    </row>
    <row r="811" spans="1:1" ht="13">
      <c r="A811" s="70"/>
    </row>
    <row r="812" spans="1:1" ht="13">
      <c r="A812" s="70"/>
    </row>
    <row r="813" spans="1:1" ht="13">
      <c r="A813" s="70"/>
    </row>
    <row r="814" spans="1:1" ht="13">
      <c r="A814" s="70"/>
    </row>
    <row r="815" spans="1:1" ht="13">
      <c r="A815" s="70"/>
    </row>
    <row r="816" spans="1:1" ht="13">
      <c r="A816" s="70"/>
    </row>
    <row r="817" spans="1:1" ht="13">
      <c r="A817" s="70"/>
    </row>
    <row r="818" spans="1:1" ht="13">
      <c r="A818" s="70"/>
    </row>
    <row r="819" spans="1:1" ht="13">
      <c r="A819" s="70"/>
    </row>
    <row r="820" spans="1:1" ht="13">
      <c r="A820" s="70"/>
    </row>
    <row r="821" spans="1:1" ht="13">
      <c r="A821" s="70"/>
    </row>
    <row r="822" spans="1:1" ht="13">
      <c r="A822" s="70"/>
    </row>
    <row r="823" spans="1:1" ht="13">
      <c r="A823" s="70"/>
    </row>
    <row r="824" spans="1:1" ht="13">
      <c r="A824" s="70"/>
    </row>
    <row r="825" spans="1:1" ht="13">
      <c r="A825" s="70"/>
    </row>
    <row r="826" spans="1:1" ht="13">
      <c r="A826" s="70"/>
    </row>
    <row r="827" spans="1:1" ht="13">
      <c r="A827" s="70"/>
    </row>
    <row r="828" spans="1:1" ht="13">
      <c r="A828" s="70"/>
    </row>
    <row r="829" spans="1:1" ht="13">
      <c r="A829" s="70"/>
    </row>
    <row r="830" spans="1:1" ht="13">
      <c r="A830" s="70"/>
    </row>
    <row r="831" spans="1:1" ht="13">
      <c r="A831" s="70"/>
    </row>
    <row r="832" spans="1:1" ht="13">
      <c r="A832" s="70"/>
    </row>
    <row r="833" spans="1:1" ht="13">
      <c r="A833" s="70"/>
    </row>
    <row r="834" spans="1:1" ht="13">
      <c r="A834" s="70"/>
    </row>
    <row r="835" spans="1:1" ht="13">
      <c r="A835" s="70"/>
    </row>
    <row r="836" spans="1:1" ht="13">
      <c r="A836" s="70"/>
    </row>
    <row r="837" spans="1:1" ht="13">
      <c r="A837" s="70"/>
    </row>
    <row r="838" spans="1:1" ht="13">
      <c r="A838" s="70"/>
    </row>
    <row r="839" spans="1:1" ht="13">
      <c r="A839" s="70"/>
    </row>
    <row r="840" spans="1:1" ht="13">
      <c r="A840" s="70"/>
    </row>
    <row r="841" spans="1:1" ht="13">
      <c r="A841" s="70"/>
    </row>
    <row r="842" spans="1:1" ht="13">
      <c r="A842" s="70"/>
    </row>
    <row r="843" spans="1:1" ht="13">
      <c r="A843" s="70"/>
    </row>
    <row r="844" spans="1:1" ht="13">
      <c r="A844" s="70"/>
    </row>
    <row r="845" spans="1:1" ht="13">
      <c r="A845" s="70"/>
    </row>
    <row r="846" spans="1:1" ht="13">
      <c r="A846" s="70"/>
    </row>
    <row r="847" spans="1:1" ht="13">
      <c r="A847" s="70"/>
    </row>
    <row r="848" spans="1:1" ht="13">
      <c r="A848" s="70"/>
    </row>
    <row r="849" spans="1:1" ht="13">
      <c r="A849" s="70"/>
    </row>
    <row r="850" spans="1:1" ht="13">
      <c r="A850" s="70"/>
    </row>
    <row r="851" spans="1:1" ht="13">
      <c r="A851" s="70"/>
    </row>
    <row r="852" spans="1:1" ht="13">
      <c r="A852" s="70"/>
    </row>
    <row r="853" spans="1:1" ht="13">
      <c r="A853" s="70"/>
    </row>
    <row r="854" spans="1:1" ht="13">
      <c r="A854" s="70"/>
    </row>
    <row r="855" spans="1:1" ht="13">
      <c r="A855" s="70"/>
    </row>
    <row r="856" spans="1:1" ht="13">
      <c r="A856" s="70"/>
    </row>
    <row r="857" spans="1:1" ht="13">
      <c r="A857" s="70"/>
    </row>
    <row r="858" spans="1:1" ht="13">
      <c r="A858" s="70"/>
    </row>
    <row r="859" spans="1:1" ht="13">
      <c r="A859" s="70"/>
    </row>
    <row r="860" spans="1:1" ht="13">
      <c r="A860" s="70"/>
    </row>
    <row r="861" spans="1:1" ht="13">
      <c r="A861" s="70"/>
    </row>
    <row r="862" spans="1:1" ht="13">
      <c r="A862" s="70"/>
    </row>
    <row r="863" spans="1:1" ht="13">
      <c r="A863" s="70"/>
    </row>
    <row r="864" spans="1:1" ht="13">
      <c r="A864" s="70"/>
    </row>
    <row r="865" spans="1:1" ht="13">
      <c r="A865" s="70"/>
    </row>
    <row r="866" spans="1:1" ht="13">
      <c r="A866" s="70"/>
    </row>
    <row r="867" spans="1:1" ht="13">
      <c r="A867" s="70"/>
    </row>
    <row r="868" spans="1:1" ht="13">
      <c r="A868" s="70"/>
    </row>
    <row r="869" spans="1:1" ht="13">
      <c r="A869" s="70"/>
    </row>
    <row r="870" spans="1:1" ht="13">
      <c r="A870" s="70"/>
    </row>
    <row r="871" spans="1:1" ht="13">
      <c r="A871" s="70"/>
    </row>
    <row r="872" spans="1:1" ht="13">
      <c r="A872" s="70"/>
    </row>
    <row r="873" spans="1:1" ht="13">
      <c r="A873" s="70"/>
    </row>
    <row r="874" spans="1:1" ht="13">
      <c r="A874" s="70"/>
    </row>
    <row r="875" spans="1:1" ht="13">
      <c r="A875" s="70"/>
    </row>
    <row r="876" spans="1:1" ht="13">
      <c r="A876" s="70"/>
    </row>
    <row r="877" spans="1:1" ht="13">
      <c r="A877" s="70"/>
    </row>
    <row r="878" spans="1:1" ht="13">
      <c r="A878" s="70"/>
    </row>
    <row r="879" spans="1:1" ht="13">
      <c r="A879" s="70"/>
    </row>
    <row r="880" spans="1:1" ht="13">
      <c r="A880" s="70"/>
    </row>
    <row r="881" spans="1:1" ht="13">
      <c r="A881" s="70"/>
    </row>
    <row r="882" spans="1:1" ht="13">
      <c r="A882" s="70"/>
    </row>
    <row r="883" spans="1:1" ht="13">
      <c r="A883" s="70"/>
    </row>
    <row r="884" spans="1:1" ht="13">
      <c r="A884" s="70"/>
    </row>
    <row r="885" spans="1:1" ht="13">
      <c r="A885" s="70"/>
    </row>
    <row r="886" spans="1:1" ht="13">
      <c r="A886" s="70"/>
    </row>
    <row r="887" spans="1:1" ht="13">
      <c r="A887" s="70"/>
    </row>
    <row r="888" spans="1:1" ht="13">
      <c r="A888" s="70"/>
    </row>
    <row r="889" spans="1:1" ht="13">
      <c r="A889" s="70"/>
    </row>
    <row r="890" spans="1:1" ht="13">
      <c r="A890" s="70"/>
    </row>
    <row r="891" spans="1:1" ht="13">
      <c r="A891" s="70"/>
    </row>
    <row r="892" spans="1:1" ht="13">
      <c r="A892" s="70"/>
    </row>
    <row r="893" spans="1:1" ht="13">
      <c r="A893" s="70"/>
    </row>
    <row r="894" spans="1:1" ht="13">
      <c r="A894" s="70"/>
    </row>
    <row r="895" spans="1:1" ht="13">
      <c r="A895" s="70"/>
    </row>
    <row r="896" spans="1:1" ht="13">
      <c r="A896" s="70"/>
    </row>
    <row r="897" spans="1:1" ht="13">
      <c r="A897" s="70"/>
    </row>
    <row r="898" spans="1:1" ht="13">
      <c r="A898" s="70"/>
    </row>
    <row r="899" spans="1:1" ht="13">
      <c r="A899" s="70"/>
    </row>
    <row r="900" spans="1:1" ht="13">
      <c r="A900" s="70"/>
    </row>
    <row r="901" spans="1:1" ht="13">
      <c r="A901" s="70"/>
    </row>
    <row r="902" spans="1:1" ht="13">
      <c r="A902" s="70"/>
    </row>
    <row r="903" spans="1:1" ht="13">
      <c r="A903" s="70"/>
    </row>
    <row r="904" spans="1:1" ht="13">
      <c r="A904" s="70"/>
    </row>
    <row r="905" spans="1:1" ht="13">
      <c r="A905" s="70"/>
    </row>
    <row r="906" spans="1:1" ht="13">
      <c r="A906" s="70"/>
    </row>
    <row r="907" spans="1:1" ht="13">
      <c r="A907" s="70"/>
    </row>
    <row r="908" spans="1:1" ht="13">
      <c r="A908" s="70"/>
    </row>
    <row r="909" spans="1:1" ht="13">
      <c r="A909" s="70"/>
    </row>
    <row r="910" spans="1:1" ht="13">
      <c r="A910" s="70"/>
    </row>
    <row r="911" spans="1:1" ht="13">
      <c r="A911" s="70"/>
    </row>
    <row r="912" spans="1:1" ht="13">
      <c r="A912" s="70"/>
    </row>
    <row r="913" spans="1:1" ht="13">
      <c r="A913" s="70"/>
    </row>
    <row r="914" spans="1:1" ht="13">
      <c r="A914" s="70"/>
    </row>
    <row r="915" spans="1:1" ht="13">
      <c r="A915" s="70"/>
    </row>
    <row r="916" spans="1:1" ht="13">
      <c r="A916" s="70"/>
    </row>
    <row r="917" spans="1:1" ht="13">
      <c r="A917" s="70"/>
    </row>
    <row r="918" spans="1:1" ht="13">
      <c r="A918" s="70"/>
    </row>
    <row r="919" spans="1:1" ht="13">
      <c r="A919" s="70"/>
    </row>
    <row r="920" spans="1:1" ht="13">
      <c r="A920" s="70"/>
    </row>
    <row r="921" spans="1:1" ht="13">
      <c r="A921" s="70"/>
    </row>
    <row r="922" spans="1:1" ht="13">
      <c r="A922" s="70"/>
    </row>
    <row r="923" spans="1:1" ht="13">
      <c r="A923" s="70"/>
    </row>
    <row r="924" spans="1:1" ht="13">
      <c r="A924" s="70"/>
    </row>
    <row r="925" spans="1:1" ht="13">
      <c r="A925" s="70"/>
    </row>
    <row r="926" spans="1:1" ht="13">
      <c r="A926" s="70"/>
    </row>
    <row r="927" spans="1:1" ht="13">
      <c r="A927" s="70"/>
    </row>
    <row r="928" spans="1:1" ht="13">
      <c r="A928" s="70"/>
    </row>
    <row r="929" spans="1:1" ht="13">
      <c r="A929" s="70"/>
    </row>
    <row r="930" spans="1:1" ht="13">
      <c r="A930" s="70"/>
    </row>
    <row r="931" spans="1:1" ht="13">
      <c r="A931" s="70"/>
    </row>
    <row r="932" spans="1:1" ht="13">
      <c r="A932" s="70"/>
    </row>
    <row r="933" spans="1:1" ht="13">
      <c r="A933" s="70"/>
    </row>
    <row r="934" spans="1:1" ht="13">
      <c r="A934" s="70"/>
    </row>
    <row r="935" spans="1:1" ht="13">
      <c r="A935" s="70"/>
    </row>
    <row r="936" spans="1:1" ht="13">
      <c r="A936" s="70"/>
    </row>
    <row r="937" spans="1:1" ht="13">
      <c r="A937" s="70"/>
    </row>
    <row r="938" spans="1:1" ht="13">
      <c r="A938" s="70"/>
    </row>
    <row r="939" spans="1:1" ht="13">
      <c r="A939" s="70"/>
    </row>
    <row r="940" spans="1:1" ht="13">
      <c r="A940" s="70"/>
    </row>
    <row r="941" spans="1:1" ht="13">
      <c r="A941" s="70"/>
    </row>
    <row r="942" spans="1:1" ht="13">
      <c r="A942" s="70"/>
    </row>
    <row r="943" spans="1:1" ht="13">
      <c r="A943" s="70"/>
    </row>
    <row r="944" spans="1:1" ht="13">
      <c r="A944" s="70"/>
    </row>
    <row r="945" spans="1:1" ht="13">
      <c r="A945" s="70"/>
    </row>
    <row r="946" spans="1:1" ht="13">
      <c r="A946" s="70"/>
    </row>
    <row r="947" spans="1:1" ht="13">
      <c r="A947" s="70"/>
    </row>
    <row r="948" spans="1:1" ht="13">
      <c r="A948" s="70"/>
    </row>
    <row r="949" spans="1:1" ht="13">
      <c r="A949" s="70"/>
    </row>
    <row r="950" spans="1:1" ht="13">
      <c r="A950" s="70"/>
    </row>
    <row r="951" spans="1:1" ht="13">
      <c r="A951" s="70"/>
    </row>
    <row r="952" spans="1:1" ht="13">
      <c r="A952" s="70"/>
    </row>
    <row r="953" spans="1:1" ht="13">
      <c r="A953" s="70"/>
    </row>
    <row r="954" spans="1:1" ht="13">
      <c r="A954" s="70"/>
    </row>
    <row r="955" spans="1:1" ht="13">
      <c r="A955" s="70"/>
    </row>
    <row r="956" spans="1:1" ht="13">
      <c r="A956" s="70"/>
    </row>
    <row r="957" spans="1:1" ht="13">
      <c r="A957" s="70"/>
    </row>
    <row r="958" spans="1:1" ht="13">
      <c r="A958" s="70"/>
    </row>
    <row r="959" spans="1:1" ht="13">
      <c r="A959" s="70"/>
    </row>
    <row r="960" spans="1:1" ht="13">
      <c r="A960" s="70"/>
    </row>
    <row r="961" spans="1:1" ht="13">
      <c r="A961" s="70"/>
    </row>
    <row r="962" spans="1:1" ht="13">
      <c r="A962" s="70"/>
    </row>
    <row r="963" spans="1:1" ht="13">
      <c r="A963" s="70"/>
    </row>
    <row r="964" spans="1:1" ht="13">
      <c r="A964" s="70"/>
    </row>
    <row r="965" spans="1:1" ht="13">
      <c r="A965" s="70"/>
    </row>
    <row r="966" spans="1:1" ht="13">
      <c r="A966" s="70"/>
    </row>
    <row r="967" spans="1:1" ht="13">
      <c r="A967" s="70"/>
    </row>
    <row r="968" spans="1:1" ht="13">
      <c r="A968" s="70"/>
    </row>
    <row r="969" spans="1:1" ht="13">
      <c r="A969" s="70"/>
    </row>
    <row r="970" spans="1:1" ht="13">
      <c r="A970" s="70"/>
    </row>
    <row r="971" spans="1:1" ht="13">
      <c r="A971" s="70"/>
    </row>
    <row r="972" spans="1:1" ht="13">
      <c r="A972" s="70"/>
    </row>
    <row r="973" spans="1:1" ht="13">
      <c r="A973" s="70"/>
    </row>
    <row r="974" spans="1:1" ht="13">
      <c r="A974" s="70"/>
    </row>
    <row r="975" spans="1:1" ht="13">
      <c r="A975" s="70"/>
    </row>
    <row r="976" spans="1:1" ht="13">
      <c r="A976" s="70"/>
    </row>
    <row r="977" spans="1:1" ht="13">
      <c r="A977" s="70"/>
    </row>
    <row r="978" spans="1:1" ht="13">
      <c r="A978" s="70"/>
    </row>
    <row r="979" spans="1:1" ht="13">
      <c r="A979" s="70"/>
    </row>
    <row r="980" spans="1:1" ht="13">
      <c r="A980" s="70"/>
    </row>
    <row r="981" spans="1:1" ht="13">
      <c r="A981" s="70"/>
    </row>
    <row r="982" spans="1:1" ht="13">
      <c r="A982" s="70"/>
    </row>
    <row r="983" spans="1:1" ht="13">
      <c r="A983" s="70"/>
    </row>
    <row r="984" spans="1:1" ht="13">
      <c r="A984" s="70"/>
    </row>
    <row r="985" spans="1:1" ht="13">
      <c r="A985" s="70"/>
    </row>
    <row r="986" spans="1:1" ht="13">
      <c r="A986" s="70"/>
    </row>
    <row r="987" spans="1:1" ht="13">
      <c r="A987" s="70"/>
    </row>
    <row r="988" spans="1:1" ht="13">
      <c r="A988" s="70"/>
    </row>
    <row r="989" spans="1:1" ht="13">
      <c r="A989" s="70"/>
    </row>
    <row r="990" spans="1:1" ht="13">
      <c r="A990" s="70"/>
    </row>
    <row r="991" spans="1:1" ht="13">
      <c r="A991" s="70"/>
    </row>
    <row r="992" spans="1:1" ht="13">
      <c r="A992" s="70"/>
    </row>
    <row r="993" spans="1:1" ht="13">
      <c r="A993" s="70"/>
    </row>
    <row r="994" spans="1:1" ht="13">
      <c r="A994" s="70"/>
    </row>
    <row r="995" spans="1:1" ht="13">
      <c r="A995" s="70"/>
    </row>
    <row r="996" spans="1:1" ht="13">
      <c r="A996" s="70"/>
    </row>
    <row r="997" spans="1:1" ht="13">
      <c r="A997" s="70"/>
    </row>
    <row r="998" spans="1:1" ht="13">
      <c r="A998" s="70"/>
    </row>
    <row r="999" spans="1:1" ht="13">
      <c r="A999" s="70"/>
    </row>
    <row r="1000" spans="1:1" ht="13">
      <c r="A1000" s="70"/>
    </row>
    <row r="1001" spans="1:1" ht="13">
      <c r="A1001" s="70"/>
    </row>
    <row r="1002" spans="1:1" ht="13">
      <c r="A1002" s="70"/>
    </row>
    <row r="1003" spans="1:1" ht="13">
      <c r="A1003" s="70"/>
    </row>
  </sheetData>
  <mergeCells count="5">
    <mergeCell ref="C2:G2"/>
    <mergeCell ref="H2:L2"/>
    <mergeCell ref="B20:C20"/>
    <mergeCell ref="E20:G20"/>
    <mergeCell ref="I20:K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46"/>
  <sheetViews>
    <sheetView showGridLines="0" workbookViewId="0"/>
  </sheetViews>
  <sheetFormatPr baseColWidth="10" defaultColWidth="12.6640625" defaultRowHeight="15.75" customHeight="1"/>
  <sheetData>
    <row r="1" spans="1:20" ht="15.75" customHeight="1">
      <c r="A1" s="2" t="s">
        <v>105</v>
      </c>
      <c r="B1" s="2"/>
      <c r="C1" s="2"/>
      <c r="D1" s="2"/>
      <c r="E1" s="2"/>
      <c r="F1" s="2"/>
      <c r="G1" s="2"/>
      <c r="H1" s="2"/>
      <c r="I1" s="2"/>
      <c r="J1" s="2"/>
      <c r="K1" s="2"/>
      <c r="L1" s="2"/>
      <c r="M1" s="2"/>
      <c r="N1" s="2"/>
      <c r="O1" s="2"/>
      <c r="P1" s="2"/>
      <c r="Q1" s="2"/>
      <c r="R1" s="2"/>
    </row>
    <row r="2" spans="1:20" ht="15">
      <c r="A2" s="2"/>
      <c r="C2" s="2"/>
      <c r="D2" s="2"/>
      <c r="E2" s="205" t="s">
        <v>22</v>
      </c>
      <c r="F2" s="206"/>
      <c r="G2" s="206"/>
      <c r="H2" s="206"/>
      <c r="I2" s="206"/>
      <c r="J2" s="206"/>
      <c r="K2" s="206"/>
      <c r="L2" s="206"/>
      <c r="M2" s="206"/>
      <c r="N2" s="206"/>
      <c r="O2" s="2"/>
      <c r="P2" s="2"/>
      <c r="Q2" s="2"/>
      <c r="R2" s="2"/>
    </row>
    <row r="3" spans="1:20" ht="15">
      <c r="A3" s="2"/>
      <c r="B3" s="2"/>
      <c r="C3" s="6"/>
      <c r="D3" s="6"/>
      <c r="E3" s="205" t="s">
        <v>2</v>
      </c>
      <c r="F3" s="206"/>
      <c r="G3" s="206"/>
      <c r="H3" s="206"/>
      <c r="I3" s="206"/>
      <c r="J3" s="205" t="s">
        <v>3</v>
      </c>
      <c r="K3" s="206"/>
      <c r="L3" s="206"/>
      <c r="M3" s="206"/>
      <c r="N3" s="206"/>
      <c r="O3" s="108"/>
      <c r="P3" s="210"/>
      <c r="Q3" s="206"/>
      <c r="R3" s="206"/>
      <c r="S3" s="108"/>
    </row>
    <row r="4" spans="1:20" ht="14">
      <c r="A4" s="2"/>
      <c r="B4" s="8" t="s">
        <v>4</v>
      </c>
      <c r="C4" s="2"/>
      <c r="D4" s="2"/>
      <c r="E4" s="9">
        <v>2019</v>
      </c>
      <c r="F4" s="9">
        <v>2020</v>
      </c>
      <c r="G4" s="9">
        <v>2021</v>
      </c>
      <c r="H4" s="9">
        <v>2022</v>
      </c>
      <c r="I4" s="10">
        <v>2023</v>
      </c>
      <c r="J4" s="9">
        <v>2024</v>
      </c>
      <c r="K4" s="9">
        <v>2025</v>
      </c>
      <c r="L4" s="9">
        <v>2026</v>
      </c>
      <c r="M4" s="9">
        <v>2027</v>
      </c>
      <c r="N4" s="9">
        <v>2028</v>
      </c>
      <c r="O4" s="11">
        <f t="shared" ref="O4:S4" si="0">N4+1</f>
        <v>2029</v>
      </c>
      <c r="P4" s="11">
        <f t="shared" si="0"/>
        <v>2030</v>
      </c>
      <c r="Q4" s="11">
        <f t="shared" si="0"/>
        <v>2031</v>
      </c>
      <c r="R4" s="11">
        <f t="shared" si="0"/>
        <v>2032</v>
      </c>
      <c r="S4" s="11">
        <f t="shared" si="0"/>
        <v>2033</v>
      </c>
    </row>
    <row r="5" spans="1:20" ht="14">
      <c r="A5" s="2"/>
      <c r="B5" s="1" t="s">
        <v>23</v>
      </c>
      <c r="C5" s="2"/>
      <c r="D5" s="2"/>
      <c r="E5" s="44">
        <v>975</v>
      </c>
      <c r="F5" s="44">
        <v>1000</v>
      </c>
      <c r="G5" s="44">
        <v>1050</v>
      </c>
      <c r="H5" s="44">
        <v>1039</v>
      </c>
      <c r="I5" s="59">
        <v>744</v>
      </c>
      <c r="J5" s="44">
        <v>700</v>
      </c>
      <c r="K5" s="44">
        <v>720</v>
      </c>
      <c r="L5" s="44">
        <v>750</v>
      </c>
      <c r="M5" s="44">
        <v>700</v>
      </c>
      <c r="N5" s="44">
        <v>700</v>
      </c>
      <c r="O5" s="44">
        <v>680</v>
      </c>
      <c r="P5" s="44">
        <v>650</v>
      </c>
      <c r="Q5" s="44">
        <v>600</v>
      </c>
      <c r="R5" s="44">
        <v>580</v>
      </c>
      <c r="S5" s="44">
        <v>550</v>
      </c>
      <c r="T5" s="31" t="s">
        <v>106</v>
      </c>
    </row>
    <row r="6" spans="1:20" ht="14">
      <c r="A6" s="2"/>
      <c r="B6" s="1" t="s">
        <v>25</v>
      </c>
      <c r="C6" s="2"/>
      <c r="D6" s="2"/>
      <c r="E6" s="44">
        <v>0</v>
      </c>
      <c r="F6" s="44">
        <v>0</v>
      </c>
      <c r="G6" s="44">
        <v>0</v>
      </c>
      <c r="H6" s="44">
        <v>0</v>
      </c>
      <c r="I6" s="59">
        <v>3</v>
      </c>
      <c r="J6" s="44">
        <v>10</v>
      </c>
      <c r="K6" s="44">
        <v>10</v>
      </c>
      <c r="L6" s="44">
        <v>10</v>
      </c>
      <c r="M6" s="44">
        <v>15</v>
      </c>
      <c r="N6" s="44">
        <v>15</v>
      </c>
      <c r="O6" s="44">
        <v>15</v>
      </c>
      <c r="P6" s="44">
        <v>10</v>
      </c>
      <c r="Q6" s="44">
        <v>10</v>
      </c>
      <c r="R6" s="44">
        <v>10</v>
      </c>
      <c r="S6" s="44">
        <v>5</v>
      </c>
      <c r="T6" s="1" t="s">
        <v>107</v>
      </c>
    </row>
    <row r="7" spans="1:20" ht="14">
      <c r="A7" s="2"/>
      <c r="B7" s="1" t="s">
        <v>27</v>
      </c>
      <c r="C7" s="1"/>
      <c r="D7" s="1"/>
      <c r="E7" s="61"/>
      <c r="F7" s="61"/>
      <c r="G7" s="61"/>
      <c r="H7" s="61"/>
      <c r="I7" s="62">
        <v>240</v>
      </c>
      <c r="J7" s="1">
        <v>250</v>
      </c>
      <c r="K7" s="1">
        <v>250</v>
      </c>
      <c r="L7" s="1">
        <v>200</v>
      </c>
      <c r="M7" s="1">
        <v>180</v>
      </c>
      <c r="N7" s="1">
        <v>150</v>
      </c>
      <c r="O7" s="44">
        <v>120</v>
      </c>
      <c r="P7" s="44">
        <v>120</v>
      </c>
      <c r="Q7" s="44">
        <v>90</v>
      </c>
      <c r="R7" s="44">
        <v>75</v>
      </c>
      <c r="S7" s="44">
        <v>40</v>
      </c>
      <c r="T7" s="67" t="s">
        <v>108</v>
      </c>
    </row>
    <row r="8" spans="1:20" ht="14">
      <c r="A8" s="2"/>
      <c r="B8" s="1" t="s">
        <v>29</v>
      </c>
      <c r="C8" s="2"/>
      <c r="D8" s="2"/>
      <c r="E8" s="44">
        <f t="shared" ref="E8:H8" si="1">E5+E6</f>
        <v>975</v>
      </c>
      <c r="F8" s="44">
        <f t="shared" si="1"/>
        <v>1000</v>
      </c>
      <c r="G8" s="44">
        <f t="shared" si="1"/>
        <v>1050</v>
      </c>
      <c r="H8" s="44">
        <f t="shared" si="1"/>
        <v>1039</v>
      </c>
      <c r="I8" s="59">
        <f t="shared" ref="I8:S8" si="2">I5+I6+I7</f>
        <v>987</v>
      </c>
      <c r="J8" s="44">
        <f t="shared" si="2"/>
        <v>960</v>
      </c>
      <c r="K8" s="44">
        <f t="shared" si="2"/>
        <v>980</v>
      </c>
      <c r="L8" s="44">
        <f t="shared" si="2"/>
        <v>960</v>
      </c>
      <c r="M8" s="44">
        <f t="shared" si="2"/>
        <v>895</v>
      </c>
      <c r="N8" s="44">
        <f t="shared" si="2"/>
        <v>865</v>
      </c>
      <c r="O8" s="44">
        <f t="shared" si="2"/>
        <v>815</v>
      </c>
      <c r="P8" s="44">
        <f t="shared" si="2"/>
        <v>780</v>
      </c>
      <c r="Q8" s="44">
        <f t="shared" si="2"/>
        <v>700</v>
      </c>
      <c r="R8" s="44">
        <f t="shared" si="2"/>
        <v>665</v>
      </c>
      <c r="S8" s="44">
        <f t="shared" si="2"/>
        <v>595</v>
      </c>
      <c r="T8" s="2" t="s">
        <v>109</v>
      </c>
    </row>
    <row r="9" spans="1:20" ht="14">
      <c r="A9" s="2"/>
      <c r="B9" s="1" t="s">
        <v>31</v>
      </c>
      <c r="C9" s="2"/>
      <c r="D9" s="2"/>
      <c r="E9" s="44">
        <v>67</v>
      </c>
      <c r="F9" s="44">
        <v>101</v>
      </c>
      <c r="G9" s="44">
        <v>97</v>
      </c>
      <c r="H9" s="44">
        <v>65</v>
      </c>
      <c r="I9" s="59">
        <v>105</v>
      </c>
      <c r="J9" s="44">
        <v>95</v>
      </c>
      <c r="K9" s="44">
        <v>100</v>
      </c>
      <c r="L9" s="44">
        <v>100</v>
      </c>
      <c r="M9" s="44">
        <v>120</v>
      </c>
      <c r="N9" s="44">
        <v>120</v>
      </c>
      <c r="O9" s="44">
        <v>130</v>
      </c>
      <c r="P9" s="44">
        <v>130</v>
      </c>
      <c r="Q9" s="44">
        <v>140</v>
      </c>
      <c r="R9" s="44">
        <v>145</v>
      </c>
      <c r="S9" s="44">
        <v>150</v>
      </c>
      <c r="T9" s="2" t="s">
        <v>110</v>
      </c>
    </row>
    <row r="10" spans="1:20" ht="14">
      <c r="A10" s="2"/>
      <c r="B10" s="1"/>
      <c r="C10" s="2"/>
      <c r="D10" s="2"/>
      <c r="E10" s="35"/>
      <c r="F10" s="35"/>
      <c r="G10" s="35"/>
      <c r="H10" s="35"/>
      <c r="I10" s="63"/>
      <c r="J10" s="63"/>
      <c r="K10" s="35"/>
      <c r="L10" s="35"/>
      <c r="M10" s="35"/>
      <c r="N10" s="35"/>
      <c r="O10" s="44"/>
      <c r="P10" s="44"/>
      <c r="Q10" s="44"/>
      <c r="R10" s="44"/>
      <c r="S10" s="44"/>
      <c r="T10" s="2"/>
    </row>
    <row r="11" spans="1:20" ht="14">
      <c r="A11" s="2"/>
      <c r="B11" s="1" t="s">
        <v>34</v>
      </c>
      <c r="C11" s="2"/>
      <c r="D11" s="2"/>
      <c r="E11" s="44">
        <f>15370</f>
        <v>15370</v>
      </c>
      <c r="F11" s="44">
        <f t="shared" ref="F11:S11" si="3">E15</f>
        <v>16278</v>
      </c>
      <c r="G11" s="44">
        <f t="shared" si="3"/>
        <v>17177</v>
      </c>
      <c r="H11" s="44">
        <f t="shared" si="3"/>
        <v>18130</v>
      </c>
      <c r="I11" s="59">
        <f t="shared" si="3"/>
        <v>19104</v>
      </c>
      <c r="J11" s="44">
        <f t="shared" si="3"/>
        <v>19986</v>
      </c>
      <c r="K11" s="64">
        <f t="shared" si="3"/>
        <v>20851</v>
      </c>
      <c r="L11" s="64">
        <f t="shared" si="3"/>
        <v>21731</v>
      </c>
      <c r="M11" s="64">
        <f t="shared" si="3"/>
        <v>22591</v>
      </c>
      <c r="N11" s="64">
        <f t="shared" si="3"/>
        <v>23366</v>
      </c>
      <c r="O11" s="64">
        <f t="shared" si="3"/>
        <v>24111</v>
      </c>
      <c r="P11" s="64">
        <f t="shared" si="3"/>
        <v>24796</v>
      </c>
      <c r="Q11" s="64">
        <f t="shared" si="3"/>
        <v>25446</v>
      </c>
      <c r="R11" s="64">
        <f t="shared" si="3"/>
        <v>26006</v>
      </c>
      <c r="S11" s="64">
        <f t="shared" si="3"/>
        <v>26526</v>
      </c>
      <c r="T11" s="2" t="s">
        <v>111</v>
      </c>
    </row>
    <row r="12" spans="1:20" ht="14">
      <c r="A12" s="2"/>
      <c r="B12" s="1" t="s">
        <v>36</v>
      </c>
      <c r="C12" s="2"/>
      <c r="D12" s="2"/>
      <c r="E12" s="44">
        <f t="shared" ref="E12:S12" si="4">E8</f>
        <v>975</v>
      </c>
      <c r="F12" s="44">
        <f t="shared" si="4"/>
        <v>1000</v>
      </c>
      <c r="G12" s="44">
        <f t="shared" si="4"/>
        <v>1050</v>
      </c>
      <c r="H12" s="44">
        <f t="shared" si="4"/>
        <v>1039</v>
      </c>
      <c r="I12" s="59">
        <f t="shared" si="4"/>
        <v>987</v>
      </c>
      <c r="J12" s="44">
        <f t="shared" si="4"/>
        <v>960</v>
      </c>
      <c r="K12" s="44">
        <f t="shared" si="4"/>
        <v>980</v>
      </c>
      <c r="L12" s="44">
        <f t="shared" si="4"/>
        <v>960</v>
      </c>
      <c r="M12" s="44">
        <f t="shared" si="4"/>
        <v>895</v>
      </c>
      <c r="N12" s="44">
        <f t="shared" si="4"/>
        <v>865</v>
      </c>
      <c r="O12" s="44">
        <f t="shared" si="4"/>
        <v>815</v>
      </c>
      <c r="P12" s="44">
        <f t="shared" si="4"/>
        <v>780</v>
      </c>
      <c r="Q12" s="44">
        <f t="shared" si="4"/>
        <v>700</v>
      </c>
      <c r="R12" s="44">
        <f t="shared" si="4"/>
        <v>665</v>
      </c>
      <c r="S12" s="44">
        <f t="shared" si="4"/>
        <v>595</v>
      </c>
      <c r="T12" s="67" t="s">
        <v>112</v>
      </c>
    </row>
    <row r="13" spans="1:20" ht="14">
      <c r="A13" s="2"/>
      <c r="B13" s="1" t="s">
        <v>31</v>
      </c>
      <c r="C13" s="2"/>
      <c r="D13" s="2"/>
      <c r="E13" s="44">
        <f t="shared" ref="E13:S13" si="5">E9</f>
        <v>67</v>
      </c>
      <c r="F13" s="44">
        <f t="shared" si="5"/>
        <v>101</v>
      </c>
      <c r="G13" s="44">
        <f t="shared" si="5"/>
        <v>97</v>
      </c>
      <c r="H13" s="44">
        <f t="shared" si="5"/>
        <v>65</v>
      </c>
      <c r="I13" s="59">
        <f t="shared" si="5"/>
        <v>105</v>
      </c>
      <c r="J13" s="64">
        <f t="shared" si="5"/>
        <v>95</v>
      </c>
      <c r="K13" s="64">
        <f t="shared" si="5"/>
        <v>100</v>
      </c>
      <c r="L13" s="64">
        <f t="shared" si="5"/>
        <v>100</v>
      </c>
      <c r="M13" s="64">
        <f t="shared" si="5"/>
        <v>120</v>
      </c>
      <c r="N13" s="64">
        <f t="shared" si="5"/>
        <v>120</v>
      </c>
      <c r="O13" s="64">
        <f t="shared" si="5"/>
        <v>130</v>
      </c>
      <c r="P13" s="64">
        <f t="shared" si="5"/>
        <v>130</v>
      </c>
      <c r="Q13" s="64">
        <f t="shared" si="5"/>
        <v>140</v>
      </c>
      <c r="R13" s="64">
        <f t="shared" si="5"/>
        <v>145</v>
      </c>
      <c r="S13" s="64">
        <f t="shared" si="5"/>
        <v>150</v>
      </c>
      <c r="T13" s="2" t="s">
        <v>113</v>
      </c>
    </row>
    <row r="14" spans="1:20" ht="14">
      <c r="A14" s="2"/>
      <c r="B14" s="1" t="s">
        <v>39</v>
      </c>
      <c r="C14" s="2"/>
      <c r="D14" s="2"/>
      <c r="E14" s="35">
        <f t="shared" ref="E14:S14" si="6">E13/E11</f>
        <v>4.3591411841249188E-3</v>
      </c>
      <c r="F14" s="35">
        <f t="shared" si="6"/>
        <v>6.2046934512839415E-3</v>
      </c>
      <c r="G14" s="35">
        <f t="shared" si="6"/>
        <v>5.6470862199452755E-3</v>
      </c>
      <c r="H14" s="35">
        <f t="shared" si="6"/>
        <v>3.5852178709321566E-3</v>
      </c>
      <c r="I14" s="35">
        <f t="shared" si="6"/>
        <v>5.4962311557788949E-3</v>
      </c>
      <c r="J14" s="35">
        <f t="shared" si="6"/>
        <v>4.7533273291303912E-3</v>
      </c>
      <c r="K14" s="35">
        <f t="shared" si="6"/>
        <v>4.7959330487746393E-3</v>
      </c>
      <c r="L14" s="35">
        <f t="shared" si="6"/>
        <v>4.6017210436703326E-3</v>
      </c>
      <c r="M14" s="35">
        <f t="shared" si="6"/>
        <v>5.3118498517108585E-3</v>
      </c>
      <c r="N14" s="35">
        <f t="shared" si="6"/>
        <v>5.1356672087648717E-3</v>
      </c>
      <c r="O14" s="35">
        <f t="shared" si="6"/>
        <v>5.3917299158060634E-3</v>
      </c>
      <c r="P14" s="35">
        <f t="shared" si="6"/>
        <v>5.2427810937247946E-3</v>
      </c>
      <c r="Q14" s="35">
        <f t="shared" si="6"/>
        <v>5.5018470486520475E-3</v>
      </c>
      <c r="R14" s="35">
        <f t="shared" si="6"/>
        <v>5.5756363916019376E-3</v>
      </c>
      <c r="S14" s="35">
        <f t="shared" si="6"/>
        <v>5.6548292241574306E-3</v>
      </c>
      <c r="T14" s="2"/>
    </row>
    <row r="15" spans="1:20" ht="14">
      <c r="A15" s="2"/>
      <c r="B15" s="47" t="s">
        <v>41</v>
      </c>
      <c r="C15" s="2"/>
      <c r="D15" s="2"/>
      <c r="E15" s="44">
        <f t="shared" ref="E15:S15" si="7">E11+E12-E13</f>
        <v>16278</v>
      </c>
      <c r="F15" s="44">
        <f t="shared" si="7"/>
        <v>17177</v>
      </c>
      <c r="G15" s="44">
        <f t="shared" si="7"/>
        <v>18130</v>
      </c>
      <c r="H15" s="44">
        <f t="shared" si="7"/>
        <v>19104</v>
      </c>
      <c r="I15" s="59">
        <f t="shared" si="7"/>
        <v>19986</v>
      </c>
      <c r="J15" s="64">
        <f t="shared" si="7"/>
        <v>20851</v>
      </c>
      <c r="K15" s="64">
        <f t="shared" si="7"/>
        <v>21731</v>
      </c>
      <c r="L15" s="64">
        <f t="shared" si="7"/>
        <v>22591</v>
      </c>
      <c r="M15" s="64">
        <f t="shared" si="7"/>
        <v>23366</v>
      </c>
      <c r="N15" s="64">
        <f t="shared" si="7"/>
        <v>24111</v>
      </c>
      <c r="O15" s="64">
        <f t="shared" si="7"/>
        <v>24796</v>
      </c>
      <c r="P15" s="64">
        <f t="shared" si="7"/>
        <v>25446</v>
      </c>
      <c r="Q15" s="64">
        <f t="shared" si="7"/>
        <v>26006</v>
      </c>
      <c r="R15" s="64">
        <f t="shared" si="7"/>
        <v>26526</v>
      </c>
      <c r="S15" s="64">
        <f t="shared" si="7"/>
        <v>26971</v>
      </c>
      <c r="T15" s="67" t="s">
        <v>114</v>
      </c>
    </row>
    <row r="16" spans="1:20" ht="14">
      <c r="A16" s="2"/>
      <c r="B16" s="34" t="s">
        <v>43</v>
      </c>
      <c r="C16" s="2"/>
      <c r="D16" s="2"/>
      <c r="E16" s="58" t="s">
        <v>18</v>
      </c>
      <c r="F16" s="35">
        <f t="shared" ref="F16:S16" si="8">(F15-E15)/E15</f>
        <v>5.5227914977269935E-2</v>
      </c>
      <c r="G16" s="35">
        <f t="shared" si="8"/>
        <v>5.5481166676369563E-2</v>
      </c>
      <c r="H16" s="35">
        <f t="shared" si="8"/>
        <v>5.372311086596801E-2</v>
      </c>
      <c r="I16" s="63">
        <f t="shared" si="8"/>
        <v>4.6168341708542712E-2</v>
      </c>
      <c r="J16" s="35">
        <f t="shared" si="8"/>
        <v>4.3280296207345144E-2</v>
      </c>
      <c r="K16" s="35">
        <f t="shared" si="8"/>
        <v>4.2204210829216826E-2</v>
      </c>
      <c r="L16" s="35">
        <f t="shared" si="8"/>
        <v>3.9574800975564858E-2</v>
      </c>
      <c r="M16" s="35">
        <f t="shared" si="8"/>
        <v>3.4305696958965959E-2</v>
      </c>
      <c r="N16" s="35">
        <f t="shared" si="8"/>
        <v>3.1883933921081915E-2</v>
      </c>
      <c r="O16" s="35">
        <f t="shared" si="8"/>
        <v>2.8410269171747334E-2</v>
      </c>
      <c r="P16" s="35">
        <f t="shared" si="8"/>
        <v>2.6213905468623972E-2</v>
      </c>
      <c r="Q16" s="35">
        <f t="shared" si="8"/>
        <v>2.200738819460819E-2</v>
      </c>
      <c r="R16" s="35">
        <f t="shared" si="8"/>
        <v>1.9995385680227639E-2</v>
      </c>
      <c r="S16" s="35">
        <f t="shared" si="8"/>
        <v>1.6775993365000377E-2</v>
      </c>
      <c r="T16" s="2" t="s">
        <v>115</v>
      </c>
    </row>
    <row r="17" spans="1:20" ht="14">
      <c r="A17" s="2"/>
      <c r="B17" s="1" t="s">
        <v>45</v>
      </c>
      <c r="C17" s="2"/>
      <c r="D17" s="2"/>
      <c r="E17" s="44">
        <v>120342</v>
      </c>
      <c r="F17" s="44">
        <v>127056</v>
      </c>
      <c r="G17" s="44">
        <v>134532</v>
      </c>
      <c r="H17" s="44">
        <v>142987</v>
      </c>
      <c r="I17" s="59">
        <v>151095</v>
      </c>
      <c r="J17" s="44">
        <f t="shared" ref="J17:S17" si="9">ROUND(I17*(1+J18), 0)</f>
        <v>158801</v>
      </c>
      <c r="K17" s="44">
        <f t="shared" si="9"/>
        <v>166265</v>
      </c>
      <c r="L17" s="44">
        <f t="shared" si="9"/>
        <v>174079</v>
      </c>
      <c r="M17" s="44">
        <f t="shared" si="9"/>
        <v>181390</v>
      </c>
      <c r="N17" s="44">
        <f t="shared" si="9"/>
        <v>188101</v>
      </c>
      <c r="O17" s="44">
        <f t="shared" si="9"/>
        <v>194685</v>
      </c>
      <c r="P17" s="44">
        <f t="shared" si="9"/>
        <v>200720</v>
      </c>
      <c r="Q17" s="44">
        <f t="shared" si="9"/>
        <v>205939</v>
      </c>
      <c r="R17" s="44">
        <f t="shared" si="9"/>
        <v>210264</v>
      </c>
      <c r="S17" s="44">
        <f t="shared" si="9"/>
        <v>214680</v>
      </c>
      <c r="T17" s="2" t="s">
        <v>116</v>
      </c>
    </row>
    <row r="18" spans="1:20" ht="14">
      <c r="A18" s="2"/>
      <c r="B18" s="34" t="s">
        <v>46</v>
      </c>
      <c r="C18" s="2"/>
      <c r="D18" s="2"/>
      <c r="E18" s="53" t="s">
        <v>18</v>
      </c>
      <c r="F18" s="35">
        <v>5.6000000000000001E-2</v>
      </c>
      <c r="G18" s="35">
        <v>5.8999999999999997E-2</v>
      </c>
      <c r="H18" s="35">
        <v>6.3E-2</v>
      </c>
      <c r="I18" s="63">
        <v>5.7000000000000002E-2</v>
      </c>
      <c r="J18" s="35">
        <v>5.0999999999999997E-2</v>
      </c>
      <c r="K18" s="35">
        <v>4.7E-2</v>
      </c>
      <c r="L18" s="35">
        <v>4.7E-2</v>
      </c>
      <c r="M18" s="35">
        <v>4.2000000000000003E-2</v>
      </c>
      <c r="N18" s="35">
        <v>3.6999999999999998E-2</v>
      </c>
      <c r="O18" s="35">
        <v>3.5000000000000003E-2</v>
      </c>
      <c r="P18" s="35">
        <v>3.1E-2</v>
      </c>
      <c r="Q18" s="35">
        <v>2.5999999999999999E-2</v>
      </c>
      <c r="R18" s="35">
        <v>2.1000000000000001E-2</v>
      </c>
      <c r="S18" s="35">
        <v>2.1000000000000001E-2</v>
      </c>
      <c r="T18" s="2" t="s">
        <v>117</v>
      </c>
    </row>
    <row r="19" spans="1:20" ht="14">
      <c r="A19" s="2"/>
      <c r="B19" s="1" t="s">
        <v>47</v>
      </c>
      <c r="C19" s="2"/>
      <c r="D19" s="2"/>
      <c r="E19" s="44">
        <f t="shared" ref="E19:S19" si="10">ROUND((E17/E15)*1000, 0)</f>
        <v>7393</v>
      </c>
      <c r="F19" s="44">
        <f t="shared" si="10"/>
        <v>7397</v>
      </c>
      <c r="G19" s="44">
        <f t="shared" si="10"/>
        <v>7420</v>
      </c>
      <c r="H19" s="44">
        <f t="shared" si="10"/>
        <v>7485</v>
      </c>
      <c r="I19" s="59">
        <f t="shared" si="10"/>
        <v>7560</v>
      </c>
      <c r="J19" s="44">
        <f t="shared" si="10"/>
        <v>7616</v>
      </c>
      <c r="K19" s="44">
        <f t="shared" si="10"/>
        <v>7651</v>
      </c>
      <c r="L19" s="44">
        <f t="shared" si="10"/>
        <v>7706</v>
      </c>
      <c r="M19" s="44">
        <f t="shared" si="10"/>
        <v>7763</v>
      </c>
      <c r="N19" s="44">
        <f t="shared" si="10"/>
        <v>7801</v>
      </c>
      <c r="O19" s="44">
        <f t="shared" si="10"/>
        <v>7851</v>
      </c>
      <c r="P19" s="44">
        <f t="shared" si="10"/>
        <v>7888</v>
      </c>
      <c r="Q19" s="44">
        <f t="shared" si="10"/>
        <v>7919</v>
      </c>
      <c r="R19" s="44">
        <f t="shared" si="10"/>
        <v>7927</v>
      </c>
      <c r="S19" s="44">
        <f t="shared" si="10"/>
        <v>7960</v>
      </c>
    </row>
    <row r="20" spans="1:20" ht="14">
      <c r="A20" s="2"/>
      <c r="B20" s="34" t="s">
        <v>49</v>
      </c>
      <c r="C20" s="2"/>
      <c r="D20" s="2"/>
      <c r="E20" s="53" t="s">
        <v>18</v>
      </c>
      <c r="F20" s="35">
        <f t="shared" ref="F20:S20" si="11">(F19-E19)/E19</f>
        <v>5.4105234681455427E-4</v>
      </c>
      <c r="G20" s="35">
        <f t="shared" si="11"/>
        <v>3.109368662971475E-3</v>
      </c>
      <c r="H20" s="35">
        <f t="shared" si="11"/>
        <v>8.7601078167115903E-3</v>
      </c>
      <c r="I20" s="63">
        <f t="shared" si="11"/>
        <v>1.002004008016032E-2</v>
      </c>
      <c r="J20" s="35">
        <f t="shared" si="11"/>
        <v>7.4074074074074077E-3</v>
      </c>
      <c r="K20" s="35">
        <f t="shared" si="11"/>
        <v>4.5955882352941178E-3</v>
      </c>
      <c r="L20" s="35">
        <f t="shared" si="11"/>
        <v>7.1886027970199974E-3</v>
      </c>
      <c r="M20" s="35">
        <f t="shared" si="11"/>
        <v>7.3968336361276924E-3</v>
      </c>
      <c r="N20" s="35">
        <f t="shared" si="11"/>
        <v>4.8950148138606209E-3</v>
      </c>
      <c r="O20" s="35">
        <f t="shared" si="11"/>
        <v>6.409434687860531E-3</v>
      </c>
      <c r="P20" s="35">
        <f t="shared" si="11"/>
        <v>4.7127754426187747E-3</v>
      </c>
      <c r="Q20" s="35">
        <f t="shared" si="11"/>
        <v>3.9300202839756592E-3</v>
      </c>
      <c r="R20" s="35">
        <f t="shared" si="11"/>
        <v>1.0102285642126531E-3</v>
      </c>
      <c r="S20" s="35">
        <f t="shared" si="11"/>
        <v>4.1629872587359657E-3</v>
      </c>
    </row>
    <row r="21" spans="1:20" ht="14">
      <c r="A21" s="2"/>
      <c r="B21" s="1" t="s">
        <v>51</v>
      </c>
      <c r="C21" s="2"/>
      <c r="D21" s="2"/>
      <c r="E21" s="44">
        <v>237</v>
      </c>
      <c r="F21" s="44">
        <v>273</v>
      </c>
      <c r="G21" s="44">
        <v>262</v>
      </c>
      <c r="H21" s="44">
        <v>273</v>
      </c>
      <c r="I21" s="59">
        <v>264</v>
      </c>
      <c r="J21" s="44">
        <v>265</v>
      </c>
      <c r="K21" s="44">
        <v>263</v>
      </c>
      <c r="L21" s="44">
        <v>267</v>
      </c>
      <c r="M21" s="44">
        <v>262</v>
      </c>
      <c r="N21" s="44">
        <v>258</v>
      </c>
      <c r="O21" s="44">
        <v>247</v>
      </c>
      <c r="P21" s="44">
        <v>237</v>
      </c>
      <c r="Q21" s="44">
        <v>223</v>
      </c>
      <c r="R21" s="44">
        <v>215</v>
      </c>
      <c r="S21" s="44">
        <v>210</v>
      </c>
    </row>
    <row r="22" spans="1:20" ht="14">
      <c r="A22" s="2"/>
      <c r="B22" s="34" t="s">
        <v>52</v>
      </c>
      <c r="C22" s="2"/>
      <c r="D22" s="2"/>
      <c r="E22" s="58" t="s">
        <v>18</v>
      </c>
      <c r="F22" s="35">
        <f t="shared" ref="F22:S22" si="12">(F21-E21)/E21</f>
        <v>0.15189873417721519</v>
      </c>
      <c r="G22" s="35">
        <f t="shared" si="12"/>
        <v>-4.0293040293040296E-2</v>
      </c>
      <c r="H22" s="35">
        <f t="shared" si="12"/>
        <v>4.1984732824427481E-2</v>
      </c>
      <c r="I22" s="63">
        <f t="shared" si="12"/>
        <v>-3.2967032967032968E-2</v>
      </c>
      <c r="J22" s="35">
        <f t="shared" si="12"/>
        <v>3.787878787878788E-3</v>
      </c>
      <c r="K22" s="35">
        <f t="shared" si="12"/>
        <v>-7.5471698113207548E-3</v>
      </c>
      <c r="L22" s="35">
        <f t="shared" si="12"/>
        <v>1.5209125475285171E-2</v>
      </c>
      <c r="M22" s="35">
        <f t="shared" si="12"/>
        <v>-1.8726591760299626E-2</v>
      </c>
      <c r="N22" s="35">
        <f t="shared" si="12"/>
        <v>-1.5267175572519083E-2</v>
      </c>
      <c r="O22" s="35">
        <f t="shared" si="12"/>
        <v>-4.2635658914728682E-2</v>
      </c>
      <c r="P22" s="35">
        <f t="shared" si="12"/>
        <v>-4.048582995951417E-2</v>
      </c>
      <c r="Q22" s="35">
        <f t="shared" si="12"/>
        <v>-5.9071729957805907E-2</v>
      </c>
      <c r="R22" s="35">
        <f t="shared" si="12"/>
        <v>-3.5874439461883408E-2</v>
      </c>
      <c r="S22" s="35">
        <f t="shared" si="12"/>
        <v>-2.3255813953488372E-2</v>
      </c>
    </row>
    <row r="23" spans="1:20" ht="14">
      <c r="A23" s="2"/>
      <c r="B23" s="47" t="s">
        <v>53</v>
      </c>
      <c r="C23" s="2"/>
      <c r="D23" s="2"/>
      <c r="E23" s="48"/>
      <c r="F23" s="48"/>
      <c r="G23" s="48"/>
      <c r="H23" s="48"/>
      <c r="I23" s="65"/>
      <c r="J23" s="66">
        <f t="shared" ref="J23:S23" si="13">J19*J15*J21</f>
        <v>42082322240</v>
      </c>
      <c r="K23" s="66">
        <f t="shared" si="13"/>
        <v>43727400703</v>
      </c>
      <c r="L23" s="66">
        <f t="shared" si="13"/>
        <v>46481027682</v>
      </c>
      <c r="M23" s="66">
        <f t="shared" si="13"/>
        <v>47524247596</v>
      </c>
      <c r="N23" s="66">
        <f t="shared" si="13"/>
        <v>48527197038</v>
      </c>
      <c r="O23" s="66">
        <f t="shared" si="13"/>
        <v>48084328812</v>
      </c>
      <c r="P23" s="66">
        <f t="shared" si="13"/>
        <v>47570177376</v>
      </c>
      <c r="Q23" s="66">
        <f t="shared" si="13"/>
        <v>45924957622</v>
      </c>
      <c r="R23" s="66">
        <f t="shared" si="13"/>
        <v>45208394430</v>
      </c>
      <c r="S23" s="66">
        <f t="shared" si="13"/>
        <v>45084723600</v>
      </c>
    </row>
    <row r="24" spans="1:20" ht="14">
      <c r="A24" s="2"/>
      <c r="O24" s="44"/>
      <c r="P24" s="44"/>
      <c r="Q24" s="44"/>
      <c r="R24" s="44"/>
      <c r="S24" s="44"/>
    </row>
    <row r="25" spans="1:20" ht="14">
      <c r="A25" s="2"/>
      <c r="O25" s="44"/>
      <c r="P25" s="44"/>
      <c r="Q25" s="44"/>
      <c r="R25" s="44"/>
      <c r="S25" s="44"/>
    </row>
    <row r="26" spans="1:20" ht="15.75" customHeight="1">
      <c r="A26" s="2"/>
      <c r="B26" s="2"/>
      <c r="C26" s="2"/>
      <c r="D26" s="2"/>
      <c r="E26" s="2"/>
      <c r="F26" s="2"/>
      <c r="G26" s="2"/>
      <c r="H26" s="2"/>
      <c r="I26" s="2"/>
      <c r="J26" s="2"/>
      <c r="K26" s="2"/>
      <c r="L26" s="2"/>
      <c r="M26" s="2"/>
      <c r="N26" s="2"/>
      <c r="O26" s="2"/>
      <c r="P26" s="2"/>
      <c r="Q26" s="2"/>
      <c r="R26" s="2"/>
    </row>
    <row r="27" spans="1:20" ht="15.75" customHeight="1">
      <c r="A27" s="2"/>
      <c r="B27" s="2"/>
      <c r="C27" s="2"/>
      <c r="D27" s="2"/>
      <c r="E27" s="2"/>
      <c r="F27" s="2"/>
      <c r="G27" s="2"/>
      <c r="H27" s="2"/>
      <c r="I27" s="2"/>
      <c r="J27" s="2"/>
      <c r="K27" s="2"/>
      <c r="L27" s="2"/>
      <c r="M27" s="2"/>
      <c r="N27" s="2"/>
      <c r="O27" s="2"/>
      <c r="P27" s="2"/>
      <c r="Q27" s="2"/>
      <c r="R27" s="2"/>
    </row>
    <row r="28" spans="1:20" ht="14">
      <c r="A28" s="2"/>
      <c r="B28" s="47" t="s">
        <v>54</v>
      </c>
      <c r="C28" s="2"/>
      <c r="D28" s="2"/>
      <c r="E28" s="51">
        <v>27754</v>
      </c>
      <c r="F28" s="51">
        <v>33746.800000000003</v>
      </c>
      <c r="G28" s="51">
        <v>34220.400000000001</v>
      </c>
      <c r="H28" s="52">
        <v>37844.9</v>
      </c>
      <c r="I28" s="52">
        <v>38691.599999999999</v>
      </c>
      <c r="J28" s="51">
        <f t="shared" ref="J28:S28" si="14">J23/1000000</f>
        <v>42082.322240000001</v>
      </c>
      <c r="K28" s="51">
        <f t="shared" si="14"/>
        <v>43727.400702999999</v>
      </c>
      <c r="L28" s="51">
        <f t="shared" si="14"/>
        <v>46481.027682</v>
      </c>
      <c r="M28" s="52">
        <f t="shared" si="14"/>
        <v>47524.247596000001</v>
      </c>
      <c r="N28" s="52">
        <f t="shared" si="14"/>
        <v>48527.197037999998</v>
      </c>
      <c r="O28" s="52">
        <f t="shared" si="14"/>
        <v>48084.328812</v>
      </c>
      <c r="P28" s="52">
        <f t="shared" si="14"/>
        <v>47570.177376</v>
      </c>
      <c r="Q28" s="52">
        <f t="shared" si="14"/>
        <v>45924.957622000002</v>
      </c>
      <c r="R28" s="52">
        <f t="shared" si="14"/>
        <v>45208.39443</v>
      </c>
      <c r="S28" s="52">
        <f t="shared" si="14"/>
        <v>45084.723599999998</v>
      </c>
    </row>
    <row r="29" spans="1:20" ht="14">
      <c r="A29" s="2"/>
      <c r="B29" s="34" t="s">
        <v>55</v>
      </c>
      <c r="C29" s="2"/>
      <c r="D29" s="2"/>
      <c r="E29" s="53" t="s">
        <v>18</v>
      </c>
      <c r="F29" s="35">
        <f t="shared" ref="F29:S29" si="15">(F28-E28)/E28</f>
        <v>0.21592563234128426</v>
      </c>
      <c r="G29" s="35">
        <f t="shared" si="15"/>
        <v>1.4033923216423438E-2</v>
      </c>
      <c r="H29" s="35">
        <f t="shared" si="15"/>
        <v>0.10591635398767986</v>
      </c>
      <c r="I29" s="35">
        <f t="shared" si="15"/>
        <v>2.2372895687397695E-2</v>
      </c>
      <c r="J29" s="35">
        <f t="shared" si="15"/>
        <v>8.7634583217029091E-2</v>
      </c>
      <c r="K29" s="35">
        <f t="shared" si="15"/>
        <v>3.9091912599735795E-2</v>
      </c>
      <c r="L29" s="35">
        <f t="shared" si="15"/>
        <v>6.2972574054946814E-2</v>
      </c>
      <c r="M29" s="35">
        <f t="shared" si="15"/>
        <v>2.2443994163321674E-2</v>
      </c>
      <c r="N29" s="35">
        <f t="shared" si="15"/>
        <v>2.1103952039935359E-2</v>
      </c>
      <c r="O29" s="35">
        <f t="shared" si="15"/>
        <v>-9.1261859953131776E-3</v>
      </c>
      <c r="P29" s="35">
        <f t="shared" si="15"/>
        <v>-1.0692702772461028E-2</v>
      </c>
      <c r="Q29" s="35">
        <f t="shared" si="15"/>
        <v>-3.458510866999711E-2</v>
      </c>
      <c r="R29" s="35">
        <f t="shared" si="15"/>
        <v>-1.5602914604688439E-2</v>
      </c>
      <c r="S29" s="35">
        <f t="shared" si="15"/>
        <v>-2.7355722661527564E-3</v>
      </c>
      <c r="T29" s="31" t="s">
        <v>118</v>
      </c>
    </row>
    <row r="30" spans="1:20" ht="15.75" customHeight="1">
      <c r="A30" s="2"/>
      <c r="B30" s="60" t="s">
        <v>119</v>
      </c>
      <c r="C30" s="2"/>
      <c r="D30" s="2"/>
      <c r="E30" s="2">
        <f t="shared" ref="E30:S30" si="16">(1-0.32)*E28</f>
        <v>18872.719999999998</v>
      </c>
      <c r="F30" s="2">
        <f t="shared" si="16"/>
        <v>22947.824000000001</v>
      </c>
      <c r="G30" s="2">
        <f t="shared" si="16"/>
        <v>23269.871999999999</v>
      </c>
      <c r="H30" s="2">
        <f t="shared" si="16"/>
        <v>25734.531999999999</v>
      </c>
      <c r="I30" s="2">
        <f t="shared" si="16"/>
        <v>26310.287999999997</v>
      </c>
      <c r="J30" s="2">
        <f t="shared" si="16"/>
        <v>28615.979123199999</v>
      </c>
      <c r="K30" s="2">
        <f t="shared" si="16"/>
        <v>29734.632478039995</v>
      </c>
      <c r="L30" s="2">
        <f t="shared" si="16"/>
        <v>31607.098823759996</v>
      </c>
      <c r="M30" s="2">
        <f t="shared" si="16"/>
        <v>32316.488365279998</v>
      </c>
      <c r="N30" s="2">
        <f t="shared" si="16"/>
        <v>32998.493985839996</v>
      </c>
      <c r="O30" s="2">
        <f t="shared" si="16"/>
        <v>32697.343592159996</v>
      </c>
      <c r="P30" s="2">
        <f t="shared" si="16"/>
        <v>32347.720615679998</v>
      </c>
      <c r="Q30" s="2">
        <f t="shared" si="16"/>
        <v>31228.971182959998</v>
      </c>
      <c r="R30" s="2">
        <f t="shared" si="16"/>
        <v>30741.708212399997</v>
      </c>
      <c r="S30" s="2">
        <f t="shared" si="16"/>
        <v>30657.612047999995</v>
      </c>
      <c r="T30" s="31" t="s">
        <v>120</v>
      </c>
    </row>
    <row r="31" spans="1:20" ht="14">
      <c r="A31" s="2"/>
      <c r="B31" s="47" t="s">
        <v>57</v>
      </c>
      <c r="C31" s="2"/>
      <c r="D31" s="2"/>
      <c r="E31" s="2"/>
      <c r="F31" s="2"/>
      <c r="G31" s="2"/>
      <c r="H31" s="2"/>
      <c r="I31" s="2"/>
      <c r="J31" s="2"/>
      <c r="K31" s="2"/>
      <c r="L31" s="2"/>
      <c r="M31" s="2"/>
      <c r="N31" s="2"/>
      <c r="O31" s="2"/>
      <c r="P31" s="2"/>
      <c r="Q31" s="2"/>
      <c r="R31" s="2"/>
      <c r="T31" s="31" t="s">
        <v>121</v>
      </c>
    </row>
    <row r="32" spans="1:20" ht="14">
      <c r="A32" s="2"/>
      <c r="B32" s="1" t="s">
        <v>58</v>
      </c>
      <c r="C32" s="2"/>
      <c r="D32" s="2"/>
      <c r="E32" s="56">
        <v>0.78</v>
      </c>
      <c r="F32" s="56">
        <v>0.76800000000000002</v>
      </c>
      <c r="G32" s="56">
        <v>0.76700000000000002</v>
      </c>
      <c r="H32" s="56">
        <v>0.79700000000000004</v>
      </c>
      <c r="I32" s="56">
        <v>0.81</v>
      </c>
      <c r="J32" s="57">
        <v>0.81</v>
      </c>
      <c r="K32" s="57">
        <v>0.81</v>
      </c>
      <c r="L32" s="56">
        <v>0.81499999999999995</v>
      </c>
      <c r="M32" s="56">
        <v>0.81499999999999995</v>
      </c>
      <c r="N32" s="56">
        <v>0.82</v>
      </c>
      <c r="O32" s="2"/>
      <c r="P32" s="2"/>
      <c r="Q32" s="2"/>
      <c r="R32" s="2"/>
      <c r="T32" s="31" t="s">
        <v>122</v>
      </c>
    </row>
    <row r="33" spans="1:20" ht="14">
      <c r="A33" s="2"/>
      <c r="B33" s="34" t="s">
        <v>59</v>
      </c>
      <c r="C33" s="2"/>
      <c r="D33" s="2"/>
      <c r="E33" s="58" t="s">
        <v>18</v>
      </c>
      <c r="F33" s="36">
        <f t="shared" ref="F33:N33" si="17">(F32-E32)/E32</f>
        <v>-1.5384615384615398E-2</v>
      </c>
      <c r="G33" s="36">
        <f t="shared" si="17"/>
        <v>-1.3020833333333346E-3</v>
      </c>
      <c r="H33" s="36">
        <f t="shared" si="17"/>
        <v>3.9113428943937455E-2</v>
      </c>
      <c r="I33" s="36">
        <f t="shared" si="17"/>
        <v>1.6311166875784204E-2</v>
      </c>
      <c r="J33" s="36">
        <f t="shared" si="17"/>
        <v>0</v>
      </c>
      <c r="K33" s="36">
        <f t="shared" si="17"/>
        <v>0</v>
      </c>
      <c r="L33" s="36">
        <f t="shared" si="17"/>
        <v>6.1728395061727073E-3</v>
      </c>
      <c r="M33" s="36">
        <f t="shared" si="17"/>
        <v>0</v>
      </c>
      <c r="N33" s="36">
        <f t="shared" si="17"/>
        <v>6.1349693251533804E-3</v>
      </c>
      <c r="O33" s="2"/>
      <c r="P33" s="2"/>
      <c r="Q33" s="2"/>
      <c r="R33" s="2"/>
      <c r="T33" s="31" t="s">
        <v>123</v>
      </c>
    </row>
    <row r="34" spans="1:20" ht="14">
      <c r="A34" s="2"/>
      <c r="B34" s="1" t="s">
        <v>60</v>
      </c>
      <c r="C34" s="2"/>
      <c r="D34" s="2"/>
      <c r="E34" s="56">
        <v>0.11700000000000001</v>
      </c>
      <c r="F34" s="56">
        <v>0.121</v>
      </c>
      <c r="G34" s="56">
        <v>0.122</v>
      </c>
      <c r="H34" s="56">
        <v>0.11</v>
      </c>
      <c r="I34" s="56">
        <v>0.106</v>
      </c>
      <c r="J34" s="56">
        <v>0.105</v>
      </c>
      <c r="K34" s="56">
        <v>0.105</v>
      </c>
      <c r="L34" s="57">
        <v>0.1</v>
      </c>
      <c r="M34" s="57">
        <v>0.1</v>
      </c>
      <c r="N34" s="56">
        <v>9.5000000000000001E-2</v>
      </c>
      <c r="O34" s="2"/>
      <c r="P34" s="2"/>
      <c r="Q34" s="2"/>
      <c r="R34" s="2"/>
      <c r="T34" s="31" t="s">
        <v>124</v>
      </c>
    </row>
    <row r="35" spans="1:20" ht="14">
      <c r="A35" s="2"/>
      <c r="B35" s="34" t="s">
        <v>61</v>
      </c>
      <c r="C35" s="2"/>
      <c r="D35" s="2"/>
      <c r="E35" s="58" t="s">
        <v>18</v>
      </c>
      <c r="F35" s="36">
        <f t="shared" ref="F35:N35" si="18">(F34-E34)/E34</f>
        <v>3.4188034188034101E-2</v>
      </c>
      <c r="G35" s="36">
        <f t="shared" si="18"/>
        <v>8.2644628099173625E-3</v>
      </c>
      <c r="H35" s="36">
        <f t="shared" si="18"/>
        <v>-9.8360655737704888E-2</v>
      </c>
      <c r="I35" s="36">
        <f t="shared" si="18"/>
        <v>-3.6363636363636397E-2</v>
      </c>
      <c r="J35" s="36">
        <f t="shared" si="18"/>
        <v>-9.4339622641509517E-3</v>
      </c>
      <c r="K35" s="36">
        <f t="shared" si="18"/>
        <v>0</v>
      </c>
      <c r="L35" s="36">
        <f t="shared" si="18"/>
        <v>-4.7619047619047533E-2</v>
      </c>
      <c r="M35" s="36">
        <f t="shared" si="18"/>
        <v>0</v>
      </c>
      <c r="N35" s="36">
        <f t="shared" si="18"/>
        <v>-5.0000000000000044E-2</v>
      </c>
      <c r="O35" s="2"/>
      <c r="P35" s="2"/>
      <c r="Q35" s="2"/>
      <c r="R35" s="2"/>
      <c r="T35" s="31" t="s">
        <v>125</v>
      </c>
    </row>
    <row r="36" spans="1:20" ht="14">
      <c r="A36" s="2"/>
      <c r="B36" s="1" t="s">
        <v>62</v>
      </c>
      <c r="C36" s="2"/>
      <c r="D36" s="2"/>
      <c r="E36" s="56">
        <v>5.8000000000000003E-2</v>
      </c>
      <c r="F36" s="56">
        <v>6.5000000000000002E-2</v>
      </c>
      <c r="G36" s="56">
        <v>6.8000000000000005E-2</v>
      </c>
      <c r="H36" s="56">
        <v>6.2E-2</v>
      </c>
      <c r="I36" s="56">
        <v>5.6000000000000001E-2</v>
      </c>
      <c r="J36" s="56">
        <v>5.5E-2</v>
      </c>
      <c r="K36" s="56">
        <v>5.5E-2</v>
      </c>
      <c r="L36" s="56">
        <v>5.2999999999999999E-2</v>
      </c>
      <c r="M36" s="56">
        <v>5.0999999999999997E-2</v>
      </c>
      <c r="N36" s="56">
        <v>5.0999999999999997E-2</v>
      </c>
      <c r="O36" s="2"/>
      <c r="P36" s="60"/>
      <c r="Q36" s="2"/>
      <c r="R36" s="2"/>
      <c r="T36" s="31" t="s">
        <v>126</v>
      </c>
    </row>
    <row r="37" spans="1:20" ht="14">
      <c r="A37" s="2"/>
      <c r="B37" s="34" t="s">
        <v>63</v>
      </c>
      <c r="C37" s="2"/>
      <c r="D37" s="2"/>
      <c r="E37" s="58" t="s">
        <v>18</v>
      </c>
      <c r="F37" s="36">
        <f t="shared" ref="F37:N37" si="19">(F36-E36)/E36</f>
        <v>0.12068965517241377</v>
      </c>
      <c r="G37" s="36">
        <f t="shared" si="19"/>
        <v>4.6153846153846191E-2</v>
      </c>
      <c r="H37" s="36">
        <f t="shared" si="19"/>
        <v>-8.8235294117647134E-2</v>
      </c>
      <c r="I37" s="36">
        <f t="shared" si="19"/>
        <v>-9.6774193548387066E-2</v>
      </c>
      <c r="J37" s="36">
        <f t="shared" si="19"/>
        <v>-1.7857142857142873E-2</v>
      </c>
      <c r="K37" s="36">
        <f t="shared" si="19"/>
        <v>0</v>
      </c>
      <c r="L37" s="36">
        <f t="shared" si="19"/>
        <v>-3.6363636363636397E-2</v>
      </c>
      <c r="M37" s="36">
        <f t="shared" si="19"/>
        <v>-3.7735849056603807E-2</v>
      </c>
      <c r="N37" s="36">
        <f t="shared" si="19"/>
        <v>0</v>
      </c>
      <c r="O37" s="2"/>
      <c r="P37" s="2"/>
      <c r="Q37" s="2"/>
      <c r="R37" s="2"/>
      <c r="T37" s="31" t="s">
        <v>127</v>
      </c>
    </row>
    <row r="38" spans="1:20" ht="14">
      <c r="A38" s="2"/>
      <c r="B38" s="1" t="s">
        <v>64</v>
      </c>
      <c r="C38" s="2"/>
      <c r="D38" s="2"/>
      <c r="E38" s="56">
        <v>4.4999999999999998E-2</v>
      </c>
      <c r="F38" s="56">
        <v>4.5999999999999999E-2</v>
      </c>
      <c r="G38" s="56">
        <v>4.2999999999999997E-2</v>
      </c>
      <c r="H38" s="56">
        <v>3.1E-2</v>
      </c>
      <c r="I38" s="56">
        <v>2.8000000000000001E-2</v>
      </c>
      <c r="J38" s="56">
        <f t="shared" ref="J38:N38" si="20">1-J36-J34-J32</f>
        <v>2.9999999999999916E-2</v>
      </c>
      <c r="K38" s="56">
        <f t="shared" si="20"/>
        <v>2.9999999999999916E-2</v>
      </c>
      <c r="L38" s="56">
        <f t="shared" si="20"/>
        <v>3.2000000000000028E-2</v>
      </c>
      <c r="M38" s="56">
        <f t="shared" si="20"/>
        <v>3.400000000000003E-2</v>
      </c>
      <c r="N38" s="56">
        <f t="shared" si="20"/>
        <v>3.400000000000003E-2</v>
      </c>
      <c r="O38" s="2"/>
      <c r="P38" s="2"/>
      <c r="Q38" s="2"/>
      <c r="R38" s="2"/>
      <c r="T38" s="31" t="s">
        <v>128</v>
      </c>
    </row>
    <row r="39" spans="1:20" ht="14">
      <c r="A39" s="2"/>
      <c r="B39" s="34" t="s">
        <v>65</v>
      </c>
      <c r="C39" s="2"/>
      <c r="D39" s="2"/>
      <c r="E39" s="53" t="s">
        <v>18</v>
      </c>
      <c r="F39" s="36">
        <f t="shared" ref="F39:N39" si="21">(F38-E38)/E38</f>
        <v>2.2222222222222244E-2</v>
      </c>
      <c r="G39" s="36">
        <f t="shared" si="21"/>
        <v>-6.521739130434788E-2</v>
      </c>
      <c r="H39" s="36">
        <f t="shared" si="21"/>
        <v>-0.27906976744186041</v>
      </c>
      <c r="I39" s="36">
        <f t="shared" si="21"/>
        <v>-9.6774193548387066E-2</v>
      </c>
      <c r="J39" s="36">
        <f t="shared" si="21"/>
        <v>7.1428571428568399E-2</v>
      </c>
      <c r="K39" s="36">
        <f t="shared" si="21"/>
        <v>0</v>
      </c>
      <c r="L39" s="36">
        <f t="shared" si="21"/>
        <v>6.6666666666670621E-2</v>
      </c>
      <c r="M39" s="36">
        <f t="shared" si="21"/>
        <v>6.25E-2</v>
      </c>
      <c r="N39" s="36">
        <f t="shared" si="21"/>
        <v>0</v>
      </c>
      <c r="O39" s="2"/>
      <c r="P39" s="2"/>
      <c r="Q39" s="2"/>
      <c r="R39" s="2"/>
      <c r="T39" s="31" t="s">
        <v>129</v>
      </c>
    </row>
    <row r="40" spans="1:20" ht="15.75" customHeight="1">
      <c r="P40" s="2"/>
      <c r="T40" s="31" t="s">
        <v>130</v>
      </c>
    </row>
    <row r="41" spans="1:20" ht="15.75" customHeight="1">
      <c r="P41" s="2"/>
    </row>
    <row r="42" spans="1:20" ht="15.75" customHeight="1">
      <c r="P42" s="2"/>
    </row>
    <row r="43" spans="1:20" ht="15.75" customHeight="1">
      <c r="P43" s="2"/>
    </row>
    <row r="44" spans="1:20" ht="15.75" customHeight="1">
      <c r="P44" s="2"/>
    </row>
    <row r="45" spans="1:20" ht="15.75" customHeight="1">
      <c r="P45" s="2"/>
    </row>
    <row r="46" spans="1:20" ht="15.75" customHeight="1">
      <c r="P46" s="46"/>
    </row>
  </sheetData>
  <mergeCells count="4">
    <mergeCell ref="E2:N2"/>
    <mergeCell ref="E3:I3"/>
    <mergeCell ref="J3:N3"/>
    <mergeCell ref="P3:R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37"/>
  <sheetViews>
    <sheetView showGridLines="0" workbookViewId="0"/>
  </sheetViews>
  <sheetFormatPr baseColWidth="10" defaultColWidth="12.6640625" defaultRowHeight="15.75" customHeight="1" outlineLevelCol="1"/>
  <cols>
    <col min="2" max="2" width="12.6640625" collapsed="1"/>
    <col min="3" max="3" width="12.6640625" hidden="1" outlineLevel="1"/>
  </cols>
  <sheetData>
    <row r="1" spans="1:16" ht="15">
      <c r="A1" s="71" t="s">
        <v>66</v>
      </c>
      <c r="B1" s="205" t="s">
        <v>2</v>
      </c>
      <c r="C1" s="206"/>
      <c r="D1" s="206"/>
      <c r="E1" s="206"/>
      <c r="F1" s="211"/>
      <c r="G1" s="205" t="s">
        <v>3</v>
      </c>
      <c r="H1" s="206"/>
      <c r="I1" s="206"/>
      <c r="J1" s="206"/>
      <c r="K1" s="206"/>
      <c r="L1" s="72"/>
      <c r="M1" s="72"/>
      <c r="N1" s="72"/>
      <c r="O1" s="72"/>
      <c r="P1" s="72"/>
    </row>
    <row r="2" spans="1:16" ht="14">
      <c r="A2" s="71" t="s">
        <v>4</v>
      </c>
      <c r="B2" s="73">
        <v>2019</v>
      </c>
      <c r="C2" s="73">
        <v>2020</v>
      </c>
      <c r="D2" s="73">
        <v>2021</v>
      </c>
      <c r="E2" s="73">
        <v>2022</v>
      </c>
      <c r="F2" s="74">
        <v>2023</v>
      </c>
      <c r="G2" s="73">
        <v>2024</v>
      </c>
      <c r="H2" s="73">
        <v>2025</v>
      </c>
      <c r="I2" s="73">
        <v>2026</v>
      </c>
      <c r="J2" s="73">
        <v>2027</v>
      </c>
      <c r="K2" s="73">
        <v>2028</v>
      </c>
      <c r="L2" s="1">
        <v>2029</v>
      </c>
      <c r="M2" s="75">
        <v>2030</v>
      </c>
      <c r="N2" s="1">
        <v>2031</v>
      </c>
      <c r="O2" s="1">
        <v>2032</v>
      </c>
      <c r="P2" s="44">
        <v>2033</v>
      </c>
    </row>
    <row r="3" spans="1:16" ht="14">
      <c r="A3" s="71" t="s">
        <v>67</v>
      </c>
      <c r="B3" s="51">
        <f>'Revenue Build (Base Case)'!E28</f>
        <v>27754</v>
      </c>
      <c r="C3" s="51">
        <f>'Revenue Build (Base Case)'!F28</f>
        <v>33746.800000000003</v>
      </c>
      <c r="D3" s="51">
        <f>'Revenue Build (Base Case)'!G28</f>
        <v>34220.400000000001</v>
      </c>
      <c r="E3" s="51">
        <f>'Revenue Build (Base Case)'!H28</f>
        <v>37844.9</v>
      </c>
      <c r="F3" s="76">
        <f>'Revenue Build (Base Case)'!I28</f>
        <v>38691.599999999999</v>
      </c>
      <c r="G3" s="109">
        <f>'Revenue Build (Bear Case)'!J28</f>
        <v>42082.322240000001</v>
      </c>
      <c r="H3" s="109">
        <f>'Revenue Build (Bear Case)'!K28</f>
        <v>43727.400702999999</v>
      </c>
      <c r="I3" s="109">
        <f>'Revenue Build (Bear Case)'!L28</f>
        <v>46481.027682</v>
      </c>
      <c r="J3" s="109">
        <f>'Revenue Build (Bear Case)'!M28</f>
        <v>47524.247596000001</v>
      </c>
      <c r="K3" s="109">
        <f>'Revenue Build (Bear Case)'!N28</f>
        <v>48527.197037999998</v>
      </c>
      <c r="L3" s="109">
        <f>'Revenue Build (Bear Case)'!O28</f>
        <v>48084.328812</v>
      </c>
      <c r="M3" s="109">
        <f>'Revenue Build (Bear Case)'!P28</f>
        <v>47570.177376</v>
      </c>
      <c r="N3" s="109">
        <f>'Revenue Build (Bear Case)'!Q28</f>
        <v>45924.957622000002</v>
      </c>
      <c r="O3" s="109">
        <f>'Revenue Build (Bear Case)'!R28</f>
        <v>45208.39443</v>
      </c>
      <c r="P3" s="109">
        <f>'Revenue Build (Bear Case)'!S28</f>
        <v>45084.723599999998</v>
      </c>
    </row>
    <row r="4" spans="1:16" ht="15.75" customHeight="1">
      <c r="A4" s="81" t="s">
        <v>68</v>
      </c>
      <c r="B4" s="82">
        <v>8.3000000000000004E-2</v>
      </c>
      <c r="C4" s="82">
        <v>0.216</v>
      </c>
      <c r="D4" s="82">
        <v>1.4E-2</v>
      </c>
      <c r="E4" s="82">
        <v>0.106</v>
      </c>
      <c r="F4" s="83">
        <v>2.1999999999999999E-2</v>
      </c>
      <c r="G4" s="29">
        <f t="shared" ref="G4:P4" si="0">(G3-F3)/F3</f>
        <v>8.7634583217029091E-2</v>
      </c>
      <c r="H4" s="29">
        <f t="shared" si="0"/>
        <v>3.9091912599735795E-2</v>
      </c>
      <c r="I4" s="29">
        <f t="shared" si="0"/>
        <v>6.2972574054946814E-2</v>
      </c>
      <c r="J4" s="29">
        <f t="shared" si="0"/>
        <v>2.2443994163321674E-2</v>
      </c>
      <c r="K4" s="29">
        <f t="shared" si="0"/>
        <v>2.1103952039935359E-2</v>
      </c>
      <c r="L4" s="29">
        <f t="shared" si="0"/>
        <v>-9.1261859953131776E-3</v>
      </c>
      <c r="M4" s="29">
        <f t="shared" si="0"/>
        <v>-1.0692702772461028E-2</v>
      </c>
      <c r="N4" s="29">
        <f t="shared" si="0"/>
        <v>-3.458510866999711E-2</v>
      </c>
      <c r="O4" s="29">
        <f t="shared" si="0"/>
        <v>-1.5602914604688439E-2</v>
      </c>
      <c r="P4" s="29">
        <f t="shared" si="0"/>
        <v>-2.7355722661527564E-3</v>
      </c>
    </row>
    <row r="5" spans="1:16" ht="14">
      <c r="A5" s="71" t="s">
        <v>69</v>
      </c>
      <c r="B5" s="51">
        <v>2336.9</v>
      </c>
      <c r="C5" s="51">
        <v>3557.5</v>
      </c>
      <c r="D5" s="51">
        <v>3223.3</v>
      </c>
      <c r="E5" s="51">
        <v>3330.4</v>
      </c>
      <c r="F5" s="76">
        <v>2453</v>
      </c>
      <c r="G5" s="110">
        <f t="shared" ref="G5:P5" si="1">G3*G6</f>
        <v>2811.0991256319999</v>
      </c>
      <c r="H5" s="110">
        <f t="shared" si="1"/>
        <v>2483.7163599303999</v>
      </c>
      <c r="I5" s="110">
        <f t="shared" si="1"/>
        <v>2640.1223723375997</v>
      </c>
      <c r="J5" s="110">
        <f t="shared" si="1"/>
        <v>2224.1347874927997</v>
      </c>
      <c r="K5" s="110">
        <f t="shared" si="1"/>
        <v>2271.0728213783996</v>
      </c>
      <c r="L5" s="110">
        <f t="shared" si="1"/>
        <v>2250.3465884015995</v>
      </c>
      <c r="M5" s="110">
        <f t="shared" si="1"/>
        <v>1988.4334143167998</v>
      </c>
      <c r="N5" s="110">
        <f t="shared" si="1"/>
        <v>1919.6632285996</v>
      </c>
      <c r="O5" s="110">
        <f t="shared" si="1"/>
        <v>1717.9189883399999</v>
      </c>
      <c r="P5" s="110">
        <f t="shared" si="1"/>
        <v>1577.965326</v>
      </c>
    </row>
    <row r="6" spans="1:16" ht="15.75" customHeight="1">
      <c r="A6" s="81" t="s">
        <v>70</v>
      </c>
      <c r="B6" s="82">
        <v>8.4000000000000005E-2</v>
      </c>
      <c r="C6" s="82">
        <v>0.105</v>
      </c>
      <c r="D6" s="82">
        <v>9.4E-2</v>
      </c>
      <c r="E6" s="82">
        <v>8.7999999999999995E-2</v>
      </c>
      <c r="F6" s="83">
        <v>6.3E-2</v>
      </c>
      <c r="G6" s="111">
        <f>AVERAGE(B6:F6)-0.02</f>
        <v>6.6799999999999998E-2</v>
      </c>
      <c r="H6" s="111">
        <f>G6-0.01</f>
        <v>5.6799999999999996E-2</v>
      </c>
      <c r="I6" s="111">
        <f>H6</f>
        <v>5.6799999999999996E-2</v>
      </c>
      <c r="J6" s="111">
        <f>I6-0.01</f>
        <v>4.6799999999999994E-2</v>
      </c>
      <c r="K6" s="111">
        <f t="shared" ref="K6:L6" si="2">J6</f>
        <v>4.6799999999999994E-2</v>
      </c>
      <c r="L6" s="111">
        <f t="shared" si="2"/>
        <v>4.6799999999999994E-2</v>
      </c>
      <c r="M6" s="111">
        <v>4.1799999999999997E-2</v>
      </c>
      <c r="N6" s="111">
        <v>4.1799999999999997E-2</v>
      </c>
      <c r="O6" s="111">
        <v>3.7999999999999999E-2</v>
      </c>
      <c r="P6" s="111">
        <v>3.5000000000000003E-2</v>
      </c>
    </row>
    <row r="7" spans="1:16" ht="14">
      <c r="A7" s="71" t="s">
        <v>71</v>
      </c>
      <c r="B7" s="51">
        <f t="shared" ref="B7:F7" si="3">B5*(1-$B23)</f>
        <v>2230.10367</v>
      </c>
      <c r="C7" s="51">
        <f t="shared" si="3"/>
        <v>3394.9222500000001</v>
      </c>
      <c r="D7" s="51">
        <f t="shared" si="3"/>
        <v>3075.9951900000001</v>
      </c>
      <c r="E7" s="51">
        <f t="shared" si="3"/>
        <v>3178.2007200000003</v>
      </c>
      <c r="F7" s="76">
        <f t="shared" si="3"/>
        <v>2340.8978999999999</v>
      </c>
      <c r="G7" s="112">
        <f t="shared" ref="G7:P7" si="4">G5*(1-$B25)</f>
        <v>2203.9017144954878</v>
      </c>
      <c r="H7" s="112">
        <f t="shared" si="4"/>
        <v>1947.2336261854336</v>
      </c>
      <c r="I7" s="112">
        <f t="shared" si="4"/>
        <v>2069.8559399126784</v>
      </c>
      <c r="J7" s="112">
        <f t="shared" si="4"/>
        <v>1743.7216733943551</v>
      </c>
      <c r="K7" s="112">
        <f t="shared" si="4"/>
        <v>1780.5210919606652</v>
      </c>
      <c r="L7" s="112">
        <f t="shared" si="4"/>
        <v>1764.271725306854</v>
      </c>
      <c r="M7" s="112">
        <f t="shared" si="4"/>
        <v>1558.9317968243711</v>
      </c>
      <c r="N7" s="112">
        <f t="shared" si="4"/>
        <v>1505.0159712220864</v>
      </c>
      <c r="O7" s="112">
        <f t="shared" si="4"/>
        <v>1346.8484868585599</v>
      </c>
      <c r="P7" s="112">
        <f t="shared" si="4"/>
        <v>1237.1248155840001</v>
      </c>
    </row>
    <row r="8" spans="1:16" ht="15.75" customHeight="1">
      <c r="A8" s="81" t="s">
        <v>70</v>
      </c>
      <c r="B8" s="82">
        <f t="shared" ref="B8:P8" si="5">B7/B3</f>
        <v>8.0352513871874323E-2</v>
      </c>
      <c r="C8" s="82">
        <f t="shared" si="5"/>
        <v>0.10059982724287932</v>
      </c>
      <c r="D8" s="82">
        <f t="shared" si="5"/>
        <v>8.9887762562681911E-2</v>
      </c>
      <c r="E8" s="82">
        <f t="shared" si="5"/>
        <v>8.3979630544670489E-2</v>
      </c>
      <c r="F8" s="83">
        <f t="shared" si="5"/>
        <v>6.0501449927115966E-2</v>
      </c>
      <c r="G8" s="29">
        <f t="shared" si="5"/>
        <v>5.2371199999999993E-2</v>
      </c>
      <c r="H8" s="29">
        <f t="shared" si="5"/>
        <v>4.45312E-2</v>
      </c>
      <c r="I8" s="29">
        <f t="shared" si="5"/>
        <v>4.45312E-2</v>
      </c>
      <c r="J8" s="29">
        <f t="shared" si="5"/>
        <v>3.66912E-2</v>
      </c>
      <c r="K8" s="29">
        <f t="shared" si="5"/>
        <v>3.6691199999999993E-2</v>
      </c>
      <c r="L8" s="29">
        <f t="shared" si="5"/>
        <v>3.6691199999999993E-2</v>
      </c>
      <c r="M8" s="29">
        <f t="shared" si="5"/>
        <v>3.27712E-2</v>
      </c>
      <c r="N8" s="29">
        <f t="shared" si="5"/>
        <v>3.27712E-2</v>
      </c>
      <c r="O8" s="29">
        <f t="shared" si="5"/>
        <v>2.9791999999999999E-2</v>
      </c>
      <c r="P8" s="29">
        <f t="shared" si="5"/>
        <v>2.7440000000000003E-2</v>
      </c>
    </row>
    <row r="9" spans="1:16" ht="14">
      <c r="A9" s="71" t="s">
        <v>72</v>
      </c>
      <c r="B9" s="51">
        <v>504.8</v>
      </c>
      <c r="C9" s="51">
        <v>574.20000000000005</v>
      </c>
      <c r="D9" s="51">
        <v>641.29999999999995</v>
      </c>
      <c r="E9" s="51">
        <v>724.9</v>
      </c>
      <c r="F9" s="76">
        <v>848.8</v>
      </c>
      <c r="G9" s="113">
        <f t="shared" ref="G9:P9" si="6">G10*G3</f>
        <v>2062.3340385523256</v>
      </c>
      <c r="H9" s="113">
        <f t="shared" si="6"/>
        <v>2412.4795226327087</v>
      </c>
      <c r="I9" s="113">
        <f t="shared" si="6"/>
        <v>2556.45652251</v>
      </c>
      <c r="J9" s="113">
        <f t="shared" si="6"/>
        <v>2376.2123798000002</v>
      </c>
      <c r="K9" s="113">
        <f t="shared" si="6"/>
        <v>2426.3598519000002</v>
      </c>
      <c r="L9" s="113">
        <f t="shared" si="6"/>
        <v>2308.0477829760002</v>
      </c>
      <c r="M9" s="113">
        <f t="shared" si="6"/>
        <v>2283.3685140480002</v>
      </c>
      <c r="N9" s="113">
        <f t="shared" si="6"/>
        <v>2112.5480506120002</v>
      </c>
      <c r="O9" s="113">
        <f t="shared" si="6"/>
        <v>2079.5861437799999</v>
      </c>
      <c r="P9" s="113">
        <f t="shared" si="6"/>
        <v>2028.8125619999998</v>
      </c>
    </row>
    <row r="10" spans="1:16" ht="15.75" customHeight="1">
      <c r="A10" s="81" t="s">
        <v>70</v>
      </c>
      <c r="B10" s="82">
        <f t="shared" ref="B10:F10" si="7">B9/B3</f>
        <v>1.8188369244072928E-2</v>
      </c>
      <c r="C10" s="82">
        <f t="shared" si="7"/>
        <v>1.7014946602344518E-2</v>
      </c>
      <c r="D10" s="82">
        <f t="shared" si="7"/>
        <v>1.8740283573540926E-2</v>
      </c>
      <c r="E10" s="82">
        <f t="shared" si="7"/>
        <v>1.9154496378640185E-2</v>
      </c>
      <c r="F10" s="83">
        <f t="shared" si="7"/>
        <v>2.1937578182344489E-2</v>
      </c>
      <c r="G10" s="114">
        <f t="shared" ref="G10:H10" si="8">AVERAGE(B10:F10)+0.03</f>
        <v>4.9007134796188609E-2</v>
      </c>
      <c r="H10" s="114">
        <f t="shared" si="8"/>
        <v>5.5170887906611746E-2</v>
      </c>
      <c r="I10" s="114">
        <v>5.5E-2</v>
      </c>
      <c r="J10" s="115">
        <v>0.05</v>
      </c>
      <c r="K10" s="115">
        <v>0.05</v>
      </c>
      <c r="L10" s="114">
        <v>4.8000000000000001E-2</v>
      </c>
      <c r="M10" s="114">
        <v>4.8000000000000001E-2</v>
      </c>
      <c r="N10" s="114">
        <v>4.5999999999999999E-2</v>
      </c>
      <c r="O10" s="114">
        <v>4.5999999999999999E-2</v>
      </c>
      <c r="P10" s="114">
        <v>4.4999999999999998E-2</v>
      </c>
    </row>
    <row r="11" spans="1:16" ht="14">
      <c r="A11" s="71" t="s">
        <v>73</v>
      </c>
      <c r="B11" s="91">
        <v>-784.8</v>
      </c>
      <c r="C11" s="91">
        <v>-1028</v>
      </c>
      <c r="D11" s="91">
        <v>-1070.5</v>
      </c>
      <c r="E11" s="91">
        <v>-1560.6</v>
      </c>
      <c r="F11" s="92">
        <v>-1700.2</v>
      </c>
      <c r="G11" s="113">
        <f t="shared" ref="G11:P11" si="9">G12*G3</f>
        <v>-2735.3509456000002</v>
      </c>
      <c r="H11" s="113">
        <f t="shared" si="9"/>
        <v>-2842.2810456950001</v>
      </c>
      <c r="I11" s="113">
        <f t="shared" si="9"/>
        <v>-2491.3880567552351</v>
      </c>
      <c r="J11" s="113">
        <f t="shared" si="9"/>
        <v>-2719.2278076646808</v>
      </c>
      <c r="K11" s="113">
        <f t="shared" si="9"/>
        <v>-2719.459936555581</v>
      </c>
      <c r="L11" s="113">
        <f t="shared" si="9"/>
        <v>-2404.2164406000002</v>
      </c>
      <c r="M11" s="113">
        <f t="shared" si="9"/>
        <v>-2378.5088688000001</v>
      </c>
      <c r="N11" s="113">
        <f t="shared" si="9"/>
        <v>-2204.3979658560002</v>
      </c>
      <c r="O11" s="113">
        <f t="shared" si="9"/>
        <v>-2079.5861437799999</v>
      </c>
      <c r="P11" s="113">
        <f t="shared" si="9"/>
        <v>-2028.8125619999998</v>
      </c>
    </row>
    <row r="12" spans="1:16" ht="15.75" customHeight="1">
      <c r="A12" s="81" t="s">
        <v>70</v>
      </c>
      <c r="B12" s="82">
        <f t="shared" ref="B12:F12" si="10">B11/B3</f>
        <v>-2.8277005116379619E-2</v>
      </c>
      <c r="C12" s="82">
        <f t="shared" si="10"/>
        <v>-3.0462147522135431E-2</v>
      </c>
      <c r="D12" s="82">
        <f t="shared" si="10"/>
        <v>-3.1282509847926965E-2</v>
      </c>
      <c r="E12" s="82">
        <f t="shared" si="10"/>
        <v>-4.1236732029943261E-2</v>
      </c>
      <c r="F12" s="83">
        <f t="shared" si="10"/>
        <v>-4.3942354412844137E-2</v>
      </c>
      <c r="G12" s="116">
        <v>-6.5000000000000002E-2</v>
      </c>
      <c r="H12" s="116">
        <v>-6.5000000000000002E-2</v>
      </c>
      <c r="I12" s="116">
        <f t="shared" ref="I12:J12" si="11">AVERAGE(B12:H12)-0.01</f>
        <v>-5.3600106989889922E-2</v>
      </c>
      <c r="J12" s="116">
        <f t="shared" si="11"/>
        <v>-5.7217692971819958E-2</v>
      </c>
      <c r="K12" s="116">
        <f>AVERAGE(D12:J12)-0.005</f>
        <v>-5.6039913750346317E-2</v>
      </c>
      <c r="L12" s="116">
        <v>-0.05</v>
      </c>
      <c r="M12" s="117">
        <v>-0.05</v>
      </c>
      <c r="N12" s="116">
        <v>-4.8000000000000001E-2</v>
      </c>
      <c r="O12" s="116">
        <v>-4.5999999999999999E-2</v>
      </c>
      <c r="P12" s="116">
        <v>-4.4999999999999998E-2</v>
      </c>
    </row>
    <row r="13" spans="1:16" ht="15.75" customHeight="1">
      <c r="A13" s="71" t="s">
        <v>74</v>
      </c>
      <c r="B13" s="51">
        <f>'NWC Build'!E20</f>
        <v>394.54300000000109</v>
      </c>
      <c r="C13" s="51">
        <f>'NWC Build'!F20</f>
        <v>-173.14099999999985</v>
      </c>
      <c r="D13" s="51">
        <f>'NWC Build'!G20</f>
        <v>-20.342999999999783</v>
      </c>
      <c r="E13" s="51">
        <f>'NWC Build'!H20</f>
        <v>1311.6649999999995</v>
      </c>
      <c r="F13" s="51">
        <f>'NWC Build'!I20</f>
        <v>1516.3849999999986</v>
      </c>
      <c r="G13" s="51">
        <f>'NWC Build'!J20</f>
        <v>262.65366282635392</v>
      </c>
      <c r="H13" s="51">
        <f>'NWC Build'!K20</f>
        <v>-164.98007704157303</v>
      </c>
      <c r="I13" s="51">
        <f>'NWC Build'!L20</f>
        <v>160.19779510078538</v>
      </c>
      <c r="J13" s="51">
        <f>'NWC Build'!M20</f>
        <v>408.63115575670815</v>
      </c>
      <c r="K13" s="51">
        <f>'NWC Build'!N20</f>
        <v>388.66220780693516</v>
      </c>
      <c r="L13" s="51">
        <f>'NWC Build'!O20</f>
        <v>-89.665579814681408</v>
      </c>
      <c r="M13" s="51">
        <f>'NWC Build'!P20</f>
        <v>4.9299548777429436</v>
      </c>
      <c r="N13" s="51">
        <f>'NWC Build'!Q20</f>
        <v>228.47029523242105</v>
      </c>
      <c r="O13" s="51">
        <f>'NWC Build'!R20</f>
        <v>58.561061251590274</v>
      </c>
      <c r="P13" s="51">
        <f>'NWC Build'!S20</f>
        <v>250.50904014342456</v>
      </c>
    </row>
    <row r="14" spans="1:16" ht="15.75" customHeight="1">
      <c r="A14" s="81" t="s">
        <v>70</v>
      </c>
      <c r="B14" s="82">
        <f t="shared" ref="B14:P14" si="12">B13/B3</f>
        <v>1.4215716653455397E-2</v>
      </c>
      <c r="C14" s="82">
        <f t="shared" si="12"/>
        <v>-5.1305901596595772E-3</v>
      </c>
      <c r="D14" s="82">
        <f t="shared" si="12"/>
        <v>-5.9446996528385939E-4</v>
      </c>
      <c r="E14" s="82">
        <f t="shared" si="12"/>
        <v>3.4658963294922157E-2</v>
      </c>
      <c r="F14" s="83">
        <f t="shared" si="12"/>
        <v>3.9191581635290317E-2</v>
      </c>
      <c r="G14" s="118">
        <f t="shared" si="12"/>
        <v>6.241425112625959E-3</v>
      </c>
      <c r="H14" s="111">
        <f t="shared" si="12"/>
        <v>-3.7729221126618271E-3</v>
      </c>
      <c r="I14" s="111">
        <f t="shared" si="12"/>
        <v>3.4465200768962934E-3</v>
      </c>
      <c r="J14" s="111">
        <f t="shared" si="12"/>
        <v>8.5983719138585935E-3</v>
      </c>
      <c r="K14" s="111">
        <f t="shared" si="12"/>
        <v>8.0091625218449564E-3</v>
      </c>
      <c r="L14" s="111">
        <f t="shared" si="12"/>
        <v>-1.8647568143304171E-3</v>
      </c>
      <c r="M14" s="111">
        <f t="shared" si="12"/>
        <v>1.0363541087467531E-4</v>
      </c>
      <c r="N14" s="111">
        <f t="shared" si="12"/>
        <v>4.97486131860847E-3</v>
      </c>
      <c r="O14" s="111">
        <f t="shared" si="12"/>
        <v>1.2953581296116443E-3</v>
      </c>
      <c r="P14" s="111">
        <f t="shared" si="12"/>
        <v>5.5564062533905514E-3</v>
      </c>
    </row>
    <row r="15" spans="1:16" ht="15.75" customHeight="1">
      <c r="A15" s="71" t="s">
        <v>17</v>
      </c>
      <c r="B15" s="96">
        <v>0</v>
      </c>
      <c r="C15" s="91">
        <f t="shared" ref="C15:P15" si="13">C13-B13</f>
        <v>-567.68400000000088</v>
      </c>
      <c r="D15" s="91">
        <f t="shared" si="13"/>
        <v>152.79800000000006</v>
      </c>
      <c r="E15" s="91">
        <f t="shared" si="13"/>
        <v>1332.0079999999994</v>
      </c>
      <c r="F15" s="92">
        <f t="shared" si="13"/>
        <v>204.71999999999912</v>
      </c>
      <c r="G15" s="119">
        <f t="shared" si="13"/>
        <v>-1253.7313371736448</v>
      </c>
      <c r="H15" s="120">
        <f t="shared" si="13"/>
        <v>-427.63373986792692</v>
      </c>
      <c r="I15" s="120">
        <f t="shared" si="13"/>
        <v>325.17787214235841</v>
      </c>
      <c r="J15" s="120">
        <f t="shared" si="13"/>
        <v>248.43336065592277</v>
      </c>
      <c r="K15" s="120">
        <f t="shared" si="13"/>
        <v>-19.968947949772996</v>
      </c>
      <c r="L15" s="120">
        <f t="shared" si="13"/>
        <v>-478.32778762161655</v>
      </c>
      <c r="M15" s="120">
        <f t="shared" si="13"/>
        <v>94.595534692424351</v>
      </c>
      <c r="N15" s="120">
        <f t="shared" si="13"/>
        <v>223.54034035467811</v>
      </c>
      <c r="O15" s="120">
        <f t="shared" si="13"/>
        <v>-169.90923398083078</v>
      </c>
      <c r="P15" s="120">
        <f t="shared" si="13"/>
        <v>191.94797889183428</v>
      </c>
    </row>
    <row r="16" spans="1:16" ht="15.75" customHeight="1">
      <c r="A16" s="71" t="s">
        <v>75</v>
      </c>
      <c r="B16" s="96">
        <v>0</v>
      </c>
      <c r="C16" s="51">
        <f t="shared" ref="C16:P16" si="14">C7+C9+C11-C15</f>
        <v>3508.8062500000015</v>
      </c>
      <c r="D16" s="51">
        <f t="shared" si="14"/>
        <v>2493.9971899999996</v>
      </c>
      <c r="E16" s="51">
        <f t="shared" si="14"/>
        <v>1010.4927200000011</v>
      </c>
      <c r="F16" s="76">
        <f t="shared" si="14"/>
        <v>1284.777900000001</v>
      </c>
      <c r="G16" s="121">
        <f t="shared" si="14"/>
        <v>2784.6161446214574</v>
      </c>
      <c r="H16" s="51">
        <f t="shared" si="14"/>
        <v>1945.0658429910691</v>
      </c>
      <c r="I16" s="51">
        <f t="shared" si="14"/>
        <v>1809.7465335250849</v>
      </c>
      <c r="J16" s="51">
        <f t="shared" si="14"/>
        <v>1152.2728848737518</v>
      </c>
      <c r="K16" s="51">
        <f t="shared" si="14"/>
        <v>1507.3899552548578</v>
      </c>
      <c r="L16" s="51">
        <f t="shared" si="14"/>
        <v>2146.4308553044707</v>
      </c>
      <c r="M16" s="51">
        <f t="shared" si="14"/>
        <v>1369.1959073799471</v>
      </c>
      <c r="N16" s="51">
        <f t="shared" si="14"/>
        <v>1189.6257156234085</v>
      </c>
      <c r="O16" s="51">
        <f t="shared" si="14"/>
        <v>1516.7577208393905</v>
      </c>
      <c r="P16" s="51">
        <f t="shared" si="14"/>
        <v>1045.1768366921658</v>
      </c>
    </row>
    <row r="17" spans="1:16" ht="14">
      <c r="A17" s="71" t="s">
        <v>76</v>
      </c>
      <c r="B17" s="96">
        <v>0</v>
      </c>
      <c r="C17" s="96">
        <v>0</v>
      </c>
      <c r="D17" s="96">
        <v>0</v>
      </c>
      <c r="E17" s="96">
        <v>0</v>
      </c>
      <c r="F17" s="122">
        <v>0</v>
      </c>
      <c r="G17" s="123">
        <f t="shared" ref="G17:P17" si="15">G16/((1+$B$37)^(G2-$F$2))</f>
        <v>2588.824486910743</v>
      </c>
      <c r="H17" s="124">
        <f t="shared" si="15"/>
        <v>1681.1592304462174</v>
      </c>
      <c r="I17" s="124">
        <f t="shared" si="15"/>
        <v>1454.2181695953261</v>
      </c>
      <c r="J17" s="124">
        <f t="shared" si="15"/>
        <v>860.80429740605666</v>
      </c>
      <c r="K17" s="124">
        <f t="shared" si="15"/>
        <v>1046.9163255525195</v>
      </c>
      <c r="L17" s="124">
        <f t="shared" si="15"/>
        <v>1385.927553709005</v>
      </c>
      <c r="M17" s="124">
        <f t="shared" si="15"/>
        <v>821.91421135930909</v>
      </c>
      <c r="N17" s="124">
        <f t="shared" si="15"/>
        <v>663.90893271540131</v>
      </c>
      <c r="O17" s="124">
        <f t="shared" si="15"/>
        <v>786.95817969516418</v>
      </c>
      <c r="P17" s="124">
        <f t="shared" si="15"/>
        <v>504.15315206033921</v>
      </c>
    </row>
    <row r="18" spans="1:16" ht="15.75" customHeight="1">
      <c r="A18" s="2"/>
      <c r="B18" s="2"/>
      <c r="C18" s="2"/>
      <c r="D18" s="2"/>
      <c r="E18" s="2"/>
      <c r="F18" s="2"/>
    </row>
    <row r="19" spans="1:16" ht="15">
      <c r="A19" s="209" t="s">
        <v>77</v>
      </c>
      <c r="B19" s="206"/>
      <c r="C19" s="2"/>
      <c r="D19" s="209" t="s">
        <v>78</v>
      </c>
      <c r="E19" s="206"/>
      <c r="F19" s="206"/>
      <c r="H19" s="209" t="s">
        <v>79</v>
      </c>
      <c r="I19" s="206"/>
      <c r="J19" s="206"/>
      <c r="N19" s="99"/>
    </row>
    <row r="20" spans="1:16" ht="14">
      <c r="A20" s="100" t="s">
        <v>80</v>
      </c>
      <c r="B20" s="101">
        <v>4.6699999999999998E-2</v>
      </c>
      <c r="C20" s="2"/>
      <c r="D20" s="100" t="s">
        <v>81</v>
      </c>
      <c r="E20" s="2"/>
      <c r="F20" s="101">
        <v>0.02</v>
      </c>
      <c r="H20" s="100" t="s">
        <v>82</v>
      </c>
      <c r="I20" s="2"/>
      <c r="J20" s="102">
        <f>Comps!K12</f>
        <v>13.092304909947179</v>
      </c>
      <c r="N20" s="60" t="s">
        <v>83</v>
      </c>
    </row>
    <row r="21" spans="1:16" ht="15.75" customHeight="1">
      <c r="A21" s="100" t="s">
        <v>84</v>
      </c>
      <c r="B21" s="103">
        <v>1.1299999999999999</v>
      </c>
      <c r="C21" s="2"/>
      <c r="D21" s="100" t="s">
        <v>85</v>
      </c>
      <c r="E21" s="2"/>
      <c r="F21" s="104">
        <f>P16*((1+F20)/(B37-F20))</f>
        <v>19163.918735748885</v>
      </c>
      <c r="H21" s="100" t="s">
        <v>85</v>
      </c>
      <c r="I21" s="2"/>
      <c r="J21" s="104">
        <f>N21*J20</f>
        <v>-5902.6294815189121</v>
      </c>
      <c r="N21" s="95">
        <f>P5-P9</f>
        <v>-450.84723599999984</v>
      </c>
    </row>
    <row r="22" spans="1:16" ht="15.75" customHeight="1">
      <c r="A22" s="100" t="s">
        <v>86</v>
      </c>
      <c r="B22" s="105">
        <v>1.32</v>
      </c>
      <c r="C22" s="2"/>
      <c r="D22" s="100" t="s">
        <v>87</v>
      </c>
      <c r="E22" s="2"/>
      <c r="F22" s="104">
        <f>F21/((1+B37)^(K2-F2))</f>
        <v>13309.773835281532</v>
      </c>
      <c r="H22" s="100" t="s">
        <v>87</v>
      </c>
      <c r="I22" s="2"/>
      <c r="J22" s="104">
        <f>J21/((1+B37)^(P2-F2))</f>
        <v>-2847.2016926533852</v>
      </c>
    </row>
    <row r="23" spans="1:16" ht="15.75" customHeight="1">
      <c r="A23" s="100" t="s">
        <v>88</v>
      </c>
      <c r="B23" s="101">
        <v>4.5699999999999998E-2</v>
      </c>
      <c r="C23" s="2"/>
      <c r="D23" s="100" t="s">
        <v>89</v>
      </c>
      <c r="E23" s="2"/>
      <c r="F23" s="104">
        <f>SUM(G17:P17)</f>
        <v>11794.784539450082</v>
      </c>
      <c r="H23" s="100" t="str">
        <f t="shared" ref="H23:H26" si="16">D23</f>
        <v>Sum of Near Term Cash Flows</v>
      </c>
      <c r="I23" s="2"/>
      <c r="J23" s="104">
        <f>SUM(G17:P17)</f>
        <v>11794.784539450082</v>
      </c>
    </row>
    <row r="24" spans="1:16" ht="15.75" customHeight="1">
      <c r="A24" s="2"/>
      <c r="B24" s="2"/>
      <c r="C24" s="2"/>
      <c r="D24" s="100" t="s">
        <v>90</v>
      </c>
      <c r="E24" s="2"/>
      <c r="F24" s="104">
        <f>F23+F22</f>
        <v>25104.558374731612</v>
      </c>
      <c r="H24" s="100" t="str">
        <f t="shared" si="16"/>
        <v>Implied Enterprise Value</v>
      </c>
      <c r="I24" s="2"/>
      <c r="J24" s="104">
        <f>J23+J22</f>
        <v>8947.5828467966967</v>
      </c>
    </row>
    <row r="25" spans="1:16" ht="15.75" customHeight="1">
      <c r="A25" s="100" t="s">
        <v>91</v>
      </c>
      <c r="B25" s="101">
        <f>0.216</f>
        <v>0.216</v>
      </c>
      <c r="C25" s="2"/>
      <c r="D25" s="100" t="s">
        <v>92</v>
      </c>
      <c r="E25" s="2"/>
      <c r="F25" s="104">
        <f>F24-$B33</f>
        <v>21480.858374731612</v>
      </c>
      <c r="H25" s="100" t="str">
        <f t="shared" si="16"/>
        <v>Implied Equity Value</v>
      </c>
      <c r="I25" s="2"/>
      <c r="J25" s="104">
        <f>J24-$B33</f>
        <v>5323.8828467966969</v>
      </c>
    </row>
    <row r="26" spans="1:16" ht="15.75" customHeight="1">
      <c r="A26" s="100" t="s">
        <v>93</v>
      </c>
      <c r="B26" s="101">
        <f>B20+B22*(B23)</f>
        <v>0.10702400000000001</v>
      </c>
      <c r="C26" s="2"/>
      <c r="D26" s="100" t="s">
        <v>94</v>
      </c>
      <c r="E26" s="2"/>
      <c r="F26" s="105">
        <f>F25/$B29</f>
        <v>104.12437408982845</v>
      </c>
      <c r="H26" s="100" t="str">
        <f t="shared" si="16"/>
        <v>Implied Share Price</v>
      </c>
      <c r="I26" s="2"/>
      <c r="J26" s="105">
        <f>J25/$B29</f>
        <v>25.806509194361109</v>
      </c>
    </row>
    <row r="27" spans="1:16" ht="15.75" customHeight="1">
      <c r="A27" s="100" t="s">
        <v>95</v>
      </c>
      <c r="B27" s="101">
        <f>5.8%*(1-B25)</f>
        <v>4.5471999999999999E-2</v>
      </c>
      <c r="C27" s="2"/>
      <c r="D27" s="100" t="s">
        <v>96</v>
      </c>
      <c r="E27" s="2"/>
      <c r="F27" s="101">
        <f>(F26-$B28)/$B28</f>
        <v>-0.32548828081992326</v>
      </c>
      <c r="H27" s="100" t="s">
        <v>96</v>
      </c>
      <c r="I27" s="2"/>
      <c r="J27" s="101">
        <f>(J26-$B28)/$B28</f>
        <v>-0.83282691459246549</v>
      </c>
    </row>
    <row r="28" spans="1:16" ht="15.75" customHeight="1">
      <c r="A28" s="100" t="s">
        <v>97</v>
      </c>
      <c r="B28" s="103">
        <v>154.37</v>
      </c>
      <c r="C28" s="2"/>
      <c r="D28" s="2"/>
      <c r="E28" s="2"/>
      <c r="F28" s="2"/>
    </row>
    <row r="29" spans="1:16" ht="15.75" customHeight="1">
      <c r="A29" s="100" t="s">
        <v>98</v>
      </c>
      <c r="B29" s="104">
        <v>206.3</v>
      </c>
      <c r="C29" s="2"/>
      <c r="D29" s="2"/>
      <c r="E29" s="2"/>
      <c r="F29" s="2"/>
    </row>
    <row r="30" spans="1:16" ht="15.75" customHeight="1">
      <c r="A30" s="100" t="s">
        <v>99</v>
      </c>
      <c r="B30" s="104">
        <v>3976.7</v>
      </c>
      <c r="C30" s="2"/>
      <c r="D30" s="2"/>
      <c r="E30" s="2"/>
      <c r="F30" s="2"/>
    </row>
    <row r="31" spans="1:16" ht="15.75" customHeight="1">
      <c r="A31" s="2"/>
      <c r="B31" s="2"/>
      <c r="C31" s="2"/>
      <c r="D31" s="2"/>
      <c r="E31" s="2"/>
      <c r="F31" s="2"/>
    </row>
    <row r="32" spans="1:16" ht="15.75" customHeight="1">
      <c r="A32" s="100" t="s">
        <v>100</v>
      </c>
      <c r="B32" s="104">
        <v>4139.8</v>
      </c>
      <c r="C32" s="79"/>
      <c r="D32" s="2"/>
      <c r="E32" s="2"/>
      <c r="F32" s="2"/>
    </row>
    <row r="33" spans="1:6" ht="15.75" customHeight="1">
      <c r="A33" s="100" t="s">
        <v>101</v>
      </c>
      <c r="B33" s="104">
        <v>3623.7</v>
      </c>
      <c r="C33" s="2"/>
      <c r="D33" s="2"/>
      <c r="E33" s="2"/>
      <c r="F33" s="2"/>
    </row>
    <row r="34" spans="1:6" ht="15.75" customHeight="1">
      <c r="A34" s="100" t="s">
        <v>99</v>
      </c>
      <c r="B34" s="104">
        <f>B30</f>
        <v>3976.7</v>
      </c>
      <c r="C34" s="2"/>
      <c r="D34" s="2"/>
      <c r="E34" s="2"/>
      <c r="F34" s="2"/>
    </row>
    <row r="35" spans="1:6" ht="15.75" customHeight="1">
      <c r="A35" s="100" t="s">
        <v>102</v>
      </c>
      <c r="B35" s="101">
        <f>B34/(B32+B34)</f>
        <v>0.48995256576110391</v>
      </c>
      <c r="C35" s="2"/>
      <c r="D35" s="2"/>
      <c r="E35" s="2"/>
      <c r="F35" s="2"/>
    </row>
    <row r="36" spans="1:6" ht="15.75" customHeight="1">
      <c r="A36" s="100" t="s">
        <v>103</v>
      </c>
      <c r="B36" s="101">
        <f>1-B35</f>
        <v>0.51004743423889609</v>
      </c>
      <c r="C36" s="2"/>
      <c r="D36" s="2"/>
      <c r="E36" s="2"/>
      <c r="F36" s="2"/>
    </row>
    <row r="37" spans="1:6" ht="15.75" customHeight="1">
      <c r="A37" s="8" t="s">
        <v>104</v>
      </c>
      <c r="B37" s="107">
        <f>B35*B26+B27*B36</f>
        <v>7.5629560327727469E-2</v>
      </c>
      <c r="C37" s="2"/>
      <c r="D37" s="2"/>
      <c r="E37" s="2"/>
      <c r="F37" s="2"/>
    </row>
  </sheetData>
  <mergeCells count="5">
    <mergeCell ref="B1:F1"/>
    <mergeCell ref="G1:K1"/>
    <mergeCell ref="A19:B19"/>
    <mergeCell ref="D19:F19"/>
    <mergeCell ref="H19:J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46"/>
  <sheetViews>
    <sheetView showGridLines="0" workbookViewId="0"/>
  </sheetViews>
  <sheetFormatPr baseColWidth="10" defaultColWidth="12.6640625" defaultRowHeight="15.75" customHeight="1"/>
  <sheetData>
    <row r="1" spans="1:20" ht="15.75" customHeight="1">
      <c r="A1" s="2" t="s">
        <v>131</v>
      </c>
      <c r="B1" s="2"/>
      <c r="C1" s="2"/>
      <c r="D1" s="2"/>
      <c r="E1" s="2"/>
      <c r="F1" s="2"/>
      <c r="G1" s="2"/>
      <c r="H1" s="2"/>
      <c r="I1" s="2"/>
      <c r="J1" s="2"/>
      <c r="K1" s="2"/>
      <c r="L1" s="2"/>
      <c r="M1" s="2"/>
      <c r="N1" s="2"/>
      <c r="O1" s="2"/>
      <c r="P1" s="2"/>
      <c r="Q1" s="2"/>
      <c r="R1" s="2"/>
    </row>
    <row r="2" spans="1:20" ht="15">
      <c r="A2" s="2"/>
      <c r="C2" s="2"/>
      <c r="D2" s="2"/>
      <c r="E2" s="205" t="s">
        <v>22</v>
      </c>
      <c r="F2" s="206"/>
      <c r="G2" s="206"/>
      <c r="H2" s="206"/>
      <c r="I2" s="206"/>
      <c r="J2" s="206"/>
      <c r="K2" s="206"/>
      <c r="L2" s="206"/>
      <c r="M2" s="206"/>
      <c r="N2" s="206"/>
      <c r="O2" s="2"/>
      <c r="P2" s="2"/>
      <c r="Q2" s="2"/>
      <c r="R2" s="2"/>
    </row>
    <row r="3" spans="1:20" ht="15">
      <c r="A3" s="2"/>
      <c r="B3" s="2"/>
      <c r="C3" s="6"/>
      <c r="D3" s="6"/>
      <c r="E3" s="205" t="s">
        <v>2</v>
      </c>
      <c r="F3" s="206"/>
      <c r="G3" s="206"/>
      <c r="H3" s="206"/>
      <c r="I3" s="206"/>
      <c r="J3" s="205" t="s">
        <v>3</v>
      </c>
      <c r="K3" s="206"/>
      <c r="L3" s="206"/>
      <c r="M3" s="206"/>
      <c r="N3" s="206"/>
      <c r="O3" s="108"/>
      <c r="P3" s="210"/>
      <c r="Q3" s="206"/>
      <c r="R3" s="206"/>
      <c r="S3" s="108"/>
    </row>
    <row r="4" spans="1:20" ht="14">
      <c r="A4" s="2"/>
      <c r="B4" s="8" t="s">
        <v>4</v>
      </c>
      <c r="C4" s="2"/>
      <c r="D4" s="2"/>
      <c r="E4" s="9">
        <v>2019</v>
      </c>
      <c r="F4" s="9">
        <v>2020</v>
      </c>
      <c r="G4" s="9">
        <v>2021</v>
      </c>
      <c r="H4" s="9">
        <v>2022</v>
      </c>
      <c r="I4" s="10">
        <v>2023</v>
      </c>
      <c r="J4" s="9">
        <v>2024</v>
      </c>
      <c r="K4" s="9">
        <v>2025</v>
      </c>
      <c r="L4" s="9">
        <v>2026</v>
      </c>
      <c r="M4" s="9">
        <v>2027</v>
      </c>
      <c r="N4" s="9">
        <v>2028</v>
      </c>
      <c r="O4" s="11">
        <f t="shared" ref="O4:S4" si="0">N4+1</f>
        <v>2029</v>
      </c>
      <c r="P4" s="11">
        <f t="shared" si="0"/>
        <v>2030</v>
      </c>
      <c r="Q4" s="11">
        <f t="shared" si="0"/>
        <v>2031</v>
      </c>
      <c r="R4" s="11">
        <f t="shared" si="0"/>
        <v>2032</v>
      </c>
      <c r="S4" s="11">
        <f t="shared" si="0"/>
        <v>2033</v>
      </c>
    </row>
    <row r="5" spans="1:20" ht="14">
      <c r="A5" s="2"/>
      <c r="B5" s="1" t="s">
        <v>23</v>
      </c>
      <c r="C5" s="2"/>
      <c r="D5" s="2"/>
      <c r="E5" s="44">
        <v>975</v>
      </c>
      <c r="F5" s="44">
        <v>1000</v>
      </c>
      <c r="G5" s="44">
        <v>1050</v>
      </c>
      <c r="H5" s="44">
        <v>1039</v>
      </c>
      <c r="I5" s="59">
        <v>744</v>
      </c>
      <c r="J5" s="44">
        <v>700</v>
      </c>
      <c r="K5" s="44">
        <v>720</v>
      </c>
      <c r="L5" s="44">
        <v>750</v>
      </c>
      <c r="M5" s="44">
        <v>750</v>
      </c>
      <c r="N5" s="44">
        <v>750</v>
      </c>
      <c r="O5" s="44">
        <v>780</v>
      </c>
      <c r="P5" s="44">
        <v>780</v>
      </c>
      <c r="Q5" s="44">
        <v>800</v>
      </c>
      <c r="R5" s="44">
        <v>800</v>
      </c>
      <c r="S5" s="44">
        <v>800</v>
      </c>
      <c r="T5" s="31" t="s">
        <v>132</v>
      </c>
    </row>
    <row r="6" spans="1:20" ht="14">
      <c r="A6" s="2"/>
      <c r="B6" s="1" t="s">
        <v>25</v>
      </c>
      <c r="C6" s="2"/>
      <c r="D6" s="2"/>
      <c r="E6" s="44">
        <v>0</v>
      </c>
      <c r="F6" s="44">
        <v>0</v>
      </c>
      <c r="G6" s="44">
        <v>0</v>
      </c>
      <c r="H6" s="44">
        <v>0</v>
      </c>
      <c r="I6" s="59">
        <v>3</v>
      </c>
      <c r="J6" s="44">
        <v>15</v>
      </c>
      <c r="K6" s="44">
        <v>20</v>
      </c>
      <c r="L6" s="44">
        <v>35</v>
      </c>
      <c r="M6" s="44">
        <v>40</v>
      </c>
      <c r="N6" s="44">
        <v>55</v>
      </c>
      <c r="O6" s="44">
        <v>65</v>
      </c>
      <c r="P6" s="44">
        <v>75</v>
      </c>
      <c r="Q6" s="44">
        <v>90</v>
      </c>
      <c r="R6" s="44">
        <v>100</v>
      </c>
      <c r="S6" s="44">
        <v>115</v>
      </c>
      <c r="T6" s="60" t="s">
        <v>133</v>
      </c>
    </row>
    <row r="7" spans="1:20" ht="14">
      <c r="A7" s="2"/>
      <c r="B7" s="1" t="s">
        <v>27</v>
      </c>
      <c r="C7" s="1"/>
      <c r="D7" s="1"/>
      <c r="E7" s="61"/>
      <c r="F7" s="61"/>
      <c r="G7" s="61"/>
      <c r="H7" s="61"/>
      <c r="I7" s="62">
        <v>240</v>
      </c>
      <c r="J7" s="1">
        <v>250</v>
      </c>
      <c r="K7" s="1">
        <v>250</v>
      </c>
      <c r="L7" s="1">
        <v>250</v>
      </c>
      <c r="M7" s="1">
        <v>280</v>
      </c>
      <c r="N7" s="1">
        <v>280</v>
      </c>
      <c r="O7" s="44">
        <v>320</v>
      </c>
      <c r="P7" s="44">
        <v>360</v>
      </c>
      <c r="Q7" s="44">
        <v>400</v>
      </c>
      <c r="R7" s="44">
        <v>450</v>
      </c>
      <c r="S7" s="44">
        <v>480</v>
      </c>
      <c r="T7" s="2" t="s">
        <v>134</v>
      </c>
    </row>
    <row r="8" spans="1:20" ht="14">
      <c r="A8" s="2"/>
      <c r="B8" s="1" t="s">
        <v>29</v>
      </c>
      <c r="C8" s="2"/>
      <c r="D8" s="2"/>
      <c r="E8" s="44">
        <f t="shared" ref="E8:H8" si="1">E5+E6</f>
        <v>975</v>
      </c>
      <c r="F8" s="44">
        <f t="shared" si="1"/>
        <v>1000</v>
      </c>
      <c r="G8" s="44">
        <f t="shared" si="1"/>
        <v>1050</v>
      </c>
      <c r="H8" s="44">
        <f t="shared" si="1"/>
        <v>1039</v>
      </c>
      <c r="I8" s="59">
        <f t="shared" ref="I8:S8" si="2">I5+I6+I7</f>
        <v>987</v>
      </c>
      <c r="J8" s="44">
        <f t="shared" si="2"/>
        <v>965</v>
      </c>
      <c r="K8" s="44">
        <f t="shared" si="2"/>
        <v>990</v>
      </c>
      <c r="L8" s="44">
        <f t="shared" si="2"/>
        <v>1035</v>
      </c>
      <c r="M8" s="44">
        <f t="shared" si="2"/>
        <v>1070</v>
      </c>
      <c r="N8" s="44">
        <f t="shared" si="2"/>
        <v>1085</v>
      </c>
      <c r="O8" s="44">
        <f t="shared" si="2"/>
        <v>1165</v>
      </c>
      <c r="P8" s="44">
        <f t="shared" si="2"/>
        <v>1215</v>
      </c>
      <c r="Q8" s="44">
        <f t="shared" si="2"/>
        <v>1290</v>
      </c>
      <c r="R8" s="44">
        <f t="shared" si="2"/>
        <v>1350</v>
      </c>
      <c r="S8" s="44">
        <f t="shared" si="2"/>
        <v>1395</v>
      </c>
      <c r="T8" s="2" t="s">
        <v>135</v>
      </c>
    </row>
    <row r="9" spans="1:20" ht="14">
      <c r="A9" s="2"/>
      <c r="B9" s="1" t="s">
        <v>31</v>
      </c>
      <c r="C9" s="2"/>
      <c r="D9" s="2"/>
      <c r="E9" s="44">
        <v>67</v>
      </c>
      <c r="F9" s="44">
        <v>101</v>
      </c>
      <c r="G9" s="44">
        <v>97</v>
      </c>
      <c r="H9" s="44">
        <v>65</v>
      </c>
      <c r="I9" s="59">
        <v>105</v>
      </c>
      <c r="J9" s="44">
        <f>AVERAGE($F9:$I9)</f>
        <v>92</v>
      </c>
      <c r="K9" s="44">
        <v>95</v>
      </c>
      <c r="L9" s="44">
        <v>100</v>
      </c>
      <c r="M9" s="44">
        <v>95</v>
      </c>
      <c r="N9" s="44">
        <v>92</v>
      </c>
      <c r="O9" s="44">
        <v>85</v>
      </c>
      <c r="P9" s="44">
        <v>80</v>
      </c>
      <c r="Q9" s="44">
        <v>80</v>
      </c>
      <c r="R9" s="44">
        <v>75</v>
      </c>
      <c r="S9" s="44">
        <v>70</v>
      </c>
      <c r="T9" s="2"/>
    </row>
    <row r="10" spans="1:20" ht="14">
      <c r="A10" s="2"/>
      <c r="B10" s="1"/>
      <c r="C10" s="2"/>
      <c r="D10" s="2"/>
      <c r="E10" s="35"/>
      <c r="F10" s="35"/>
      <c r="G10" s="35"/>
      <c r="H10" s="35"/>
      <c r="I10" s="63"/>
      <c r="J10" s="63"/>
      <c r="K10" s="35"/>
      <c r="L10" s="35"/>
      <c r="M10" s="35"/>
      <c r="N10" s="35"/>
      <c r="O10" s="44"/>
      <c r="P10" s="44"/>
      <c r="Q10" s="44"/>
      <c r="R10" s="44"/>
      <c r="S10" s="44"/>
      <c r="T10" s="2"/>
    </row>
    <row r="11" spans="1:20" ht="14">
      <c r="A11" s="2"/>
      <c r="B11" s="1" t="s">
        <v>34</v>
      </c>
      <c r="C11" s="2"/>
      <c r="D11" s="2"/>
      <c r="E11" s="44">
        <f>15370</f>
        <v>15370</v>
      </c>
      <c r="F11" s="44">
        <f t="shared" ref="F11:S11" si="3">E15</f>
        <v>16278</v>
      </c>
      <c r="G11" s="44">
        <f t="shared" si="3"/>
        <v>17177</v>
      </c>
      <c r="H11" s="44">
        <f t="shared" si="3"/>
        <v>18130</v>
      </c>
      <c r="I11" s="59">
        <f t="shared" si="3"/>
        <v>19104</v>
      </c>
      <c r="J11" s="44">
        <f t="shared" si="3"/>
        <v>19986</v>
      </c>
      <c r="K11" s="64">
        <f t="shared" si="3"/>
        <v>20859</v>
      </c>
      <c r="L11" s="64">
        <f t="shared" si="3"/>
        <v>21754</v>
      </c>
      <c r="M11" s="64">
        <f t="shared" si="3"/>
        <v>22689</v>
      </c>
      <c r="N11" s="64">
        <f t="shared" si="3"/>
        <v>23664</v>
      </c>
      <c r="O11" s="64">
        <f t="shared" si="3"/>
        <v>24657</v>
      </c>
      <c r="P11" s="64">
        <f t="shared" si="3"/>
        <v>25737</v>
      </c>
      <c r="Q11" s="64">
        <f t="shared" si="3"/>
        <v>26872</v>
      </c>
      <c r="R11" s="64">
        <f t="shared" si="3"/>
        <v>28082</v>
      </c>
      <c r="S11" s="64">
        <f t="shared" si="3"/>
        <v>29357</v>
      </c>
      <c r="T11" s="2"/>
    </row>
    <row r="12" spans="1:20" ht="14">
      <c r="A12" s="2"/>
      <c r="B12" s="1" t="s">
        <v>36</v>
      </c>
      <c r="C12" s="2"/>
      <c r="D12" s="2"/>
      <c r="E12" s="44">
        <f t="shared" ref="E12:S12" si="4">E8</f>
        <v>975</v>
      </c>
      <c r="F12" s="44">
        <f t="shared" si="4"/>
        <v>1000</v>
      </c>
      <c r="G12" s="44">
        <f t="shared" si="4"/>
        <v>1050</v>
      </c>
      <c r="H12" s="44">
        <f t="shared" si="4"/>
        <v>1039</v>
      </c>
      <c r="I12" s="59">
        <f t="shared" si="4"/>
        <v>987</v>
      </c>
      <c r="J12" s="44">
        <f t="shared" si="4"/>
        <v>965</v>
      </c>
      <c r="K12" s="44">
        <f t="shared" si="4"/>
        <v>990</v>
      </c>
      <c r="L12" s="44">
        <f t="shared" si="4"/>
        <v>1035</v>
      </c>
      <c r="M12" s="44">
        <f t="shared" si="4"/>
        <v>1070</v>
      </c>
      <c r="N12" s="44">
        <f t="shared" si="4"/>
        <v>1085</v>
      </c>
      <c r="O12" s="44">
        <f t="shared" si="4"/>
        <v>1165</v>
      </c>
      <c r="P12" s="44">
        <f t="shared" si="4"/>
        <v>1215</v>
      </c>
      <c r="Q12" s="44">
        <f t="shared" si="4"/>
        <v>1290</v>
      </c>
      <c r="R12" s="44">
        <f t="shared" si="4"/>
        <v>1350</v>
      </c>
      <c r="S12" s="44">
        <f t="shared" si="4"/>
        <v>1395</v>
      </c>
      <c r="T12" s="2"/>
    </row>
    <row r="13" spans="1:20" ht="14">
      <c r="A13" s="2"/>
      <c r="B13" s="1" t="s">
        <v>31</v>
      </c>
      <c r="C13" s="2"/>
      <c r="D13" s="2"/>
      <c r="E13" s="44">
        <f t="shared" ref="E13:S13" si="5">E9</f>
        <v>67</v>
      </c>
      <c r="F13" s="44">
        <f t="shared" si="5"/>
        <v>101</v>
      </c>
      <c r="G13" s="44">
        <f t="shared" si="5"/>
        <v>97</v>
      </c>
      <c r="H13" s="44">
        <f t="shared" si="5"/>
        <v>65</v>
      </c>
      <c r="I13" s="59">
        <f t="shared" si="5"/>
        <v>105</v>
      </c>
      <c r="J13" s="64">
        <f t="shared" si="5"/>
        <v>92</v>
      </c>
      <c r="K13" s="64">
        <f t="shared" si="5"/>
        <v>95</v>
      </c>
      <c r="L13" s="64">
        <f t="shared" si="5"/>
        <v>100</v>
      </c>
      <c r="M13" s="64">
        <f t="shared" si="5"/>
        <v>95</v>
      </c>
      <c r="N13" s="64">
        <f t="shared" si="5"/>
        <v>92</v>
      </c>
      <c r="O13" s="64">
        <f t="shared" si="5"/>
        <v>85</v>
      </c>
      <c r="P13" s="64">
        <f t="shared" si="5"/>
        <v>80</v>
      </c>
      <c r="Q13" s="64">
        <f t="shared" si="5"/>
        <v>80</v>
      </c>
      <c r="R13" s="64">
        <f t="shared" si="5"/>
        <v>75</v>
      </c>
      <c r="S13" s="64">
        <f t="shared" si="5"/>
        <v>70</v>
      </c>
      <c r="T13" s="2"/>
    </row>
    <row r="14" spans="1:20" ht="14">
      <c r="A14" s="2"/>
      <c r="B14" s="1" t="s">
        <v>39</v>
      </c>
      <c r="C14" s="2"/>
      <c r="D14" s="2"/>
      <c r="E14" s="35">
        <f t="shared" ref="E14:S14" si="6">E13/E11</f>
        <v>4.3591411841249188E-3</v>
      </c>
      <c r="F14" s="35">
        <f t="shared" si="6"/>
        <v>6.2046934512839415E-3</v>
      </c>
      <c r="G14" s="35">
        <f t="shared" si="6"/>
        <v>5.6470862199452755E-3</v>
      </c>
      <c r="H14" s="35">
        <f t="shared" si="6"/>
        <v>3.5852178709321566E-3</v>
      </c>
      <c r="I14" s="35">
        <f t="shared" si="6"/>
        <v>5.4962311557788949E-3</v>
      </c>
      <c r="J14" s="35">
        <f t="shared" si="6"/>
        <v>4.603222255578905E-3</v>
      </c>
      <c r="K14" s="35">
        <f t="shared" si="6"/>
        <v>4.554388992760919E-3</v>
      </c>
      <c r="L14" s="35">
        <f t="shared" si="6"/>
        <v>4.5968557506665441E-3</v>
      </c>
      <c r="M14" s="35">
        <f t="shared" si="6"/>
        <v>4.1870509938736833E-3</v>
      </c>
      <c r="N14" s="35">
        <f t="shared" si="6"/>
        <v>3.887762001352265E-3</v>
      </c>
      <c r="O14" s="35">
        <f t="shared" si="6"/>
        <v>3.4472969136553513E-3</v>
      </c>
      <c r="P14" s="35">
        <f t="shared" si="6"/>
        <v>3.1083653883514006E-3</v>
      </c>
      <c r="Q14" s="35">
        <f t="shared" si="6"/>
        <v>2.9770765108663292E-3</v>
      </c>
      <c r="R14" s="35">
        <f t="shared" si="6"/>
        <v>2.670749946585001E-3</v>
      </c>
      <c r="S14" s="35">
        <f t="shared" si="6"/>
        <v>2.3844398269577956E-3</v>
      </c>
      <c r="T14" s="2"/>
    </row>
    <row r="15" spans="1:20" ht="14">
      <c r="A15" s="2"/>
      <c r="B15" s="47" t="s">
        <v>41</v>
      </c>
      <c r="C15" s="2"/>
      <c r="D15" s="2"/>
      <c r="E15" s="44">
        <f t="shared" ref="E15:S15" si="7">E11+E12-E13</f>
        <v>16278</v>
      </c>
      <c r="F15" s="44">
        <f t="shared" si="7"/>
        <v>17177</v>
      </c>
      <c r="G15" s="44">
        <f t="shared" si="7"/>
        <v>18130</v>
      </c>
      <c r="H15" s="44">
        <f t="shared" si="7"/>
        <v>19104</v>
      </c>
      <c r="I15" s="59">
        <f t="shared" si="7"/>
        <v>19986</v>
      </c>
      <c r="J15" s="64">
        <f t="shared" si="7"/>
        <v>20859</v>
      </c>
      <c r="K15" s="64">
        <f t="shared" si="7"/>
        <v>21754</v>
      </c>
      <c r="L15" s="64">
        <f t="shared" si="7"/>
        <v>22689</v>
      </c>
      <c r="M15" s="64">
        <f t="shared" si="7"/>
        <v>23664</v>
      </c>
      <c r="N15" s="64">
        <f t="shared" si="7"/>
        <v>24657</v>
      </c>
      <c r="O15" s="64">
        <f t="shared" si="7"/>
        <v>25737</v>
      </c>
      <c r="P15" s="64">
        <f t="shared" si="7"/>
        <v>26872</v>
      </c>
      <c r="Q15" s="64">
        <f t="shared" si="7"/>
        <v>28082</v>
      </c>
      <c r="R15" s="64">
        <f t="shared" si="7"/>
        <v>29357</v>
      </c>
      <c r="S15" s="64">
        <f t="shared" si="7"/>
        <v>30682</v>
      </c>
      <c r="T15" s="2"/>
    </row>
    <row r="16" spans="1:20" ht="14">
      <c r="A16" s="2"/>
      <c r="B16" s="34" t="s">
        <v>43</v>
      </c>
      <c r="C16" s="2"/>
      <c r="D16" s="2"/>
      <c r="E16" s="58" t="s">
        <v>18</v>
      </c>
      <c r="F16" s="35">
        <f t="shared" ref="F16:S16" si="8">(F15-E15)/E15</f>
        <v>5.5227914977269935E-2</v>
      </c>
      <c r="G16" s="35">
        <f t="shared" si="8"/>
        <v>5.5481166676369563E-2</v>
      </c>
      <c r="H16" s="35">
        <f t="shared" si="8"/>
        <v>5.372311086596801E-2</v>
      </c>
      <c r="I16" s="63">
        <f t="shared" si="8"/>
        <v>4.6168341708542712E-2</v>
      </c>
      <c r="J16" s="35">
        <f t="shared" si="8"/>
        <v>4.3680576403482441E-2</v>
      </c>
      <c r="K16" s="35">
        <f t="shared" si="8"/>
        <v>4.2907138405484442E-2</v>
      </c>
      <c r="L16" s="35">
        <f t="shared" si="8"/>
        <v>4.298060126873219E-2</v>
      </c>
      <c r="M16" s="35">
        <f t="shared" si="8"/>
        <v>4.297236546344043E-2</v>
      </c>
      <c r="N16" s="35">
        <f t="shared" si="8"/>
        <v>4.1962474645030425E-2</v>
      </c>
      <c r="O16" s="35">
        <f t="shared" si="8"/>
        <v>4.3800949020562113E-2</v>
      </c>
      <c r="P16" s="35">
        <f t="shared" si="8"/>
        <v>4.4099933947235499E-2</v>
      </c>
      <c r="Q16" s="35">
        <f t="shared" si="8"/>
        <v>4.5028282226853233E-2</v>
      </c>
      <c r="R16" s="35">
        <f t="shared" si="8"/>
        <v>4.540274909194502E-2</v>
      </c>
      <c r="S16" s="35">
        <f t="shared" si="8"/>
        <v>4.5134039581701126E-2</v>
      </c>
      <c r="T16" s="6"/>
    </row>
    <row r="17" spans="1:20" ht="14">
      <c r="A17" s="2"/>
      <c r="B17" s="1" t="s">
        <v>45</v>
      </c>
      <c r="C17" s="2"/>
      <c r="D17" s="2"/>
      <c r="E17" s="44">
        <v>120342</v>
      </c>
      <c r="F17" s="44">
        <v>127056</v>
      </c>
      <c r="G17" s="44">
        <v>134532</v>
      </c>
      <c r="H17" s="44">
        <v>142987</v>
      </c>
      <c r="I17" s="59">
        <v>151095</v>
      </c>
      <c r="J17" s="44">
        <f t="shared" ref="J17:S17" si="9">ROUND(I17*(1+J18), 0)</f>
        <v>160161</v>
      </c>
      <c r="K17" s="44">
        <f t="shared" si="9"/>
        <v>170571</v>
      </c>
      <c r="L17" s="44">
        <f t="shared" si="9"/>
        <v>182170</v>
      </c>
      <c r="M17" s="44">
        <f t="shared" si="9"/>
        <v>194558</v>
      </c>
      <c r="N17" s="44">
        <f t="shared" si="9"/>
        <v>207204</v>
      </c>
      <c r="O17" s="44">
        <f t="shared" si="9"/>
        <v>220051</v>
      </c>
      <c r="P17" s="44">
        <f t="shared" si="9"/>
        <v>232814</v>
      </c>
      <c r="Q17" s="44">
        <f t="shared" si="9"/>
        <v>244455</v>
      </c>
      <c r="R17" s="44">
        <f t="shared" si="9"/>
        <v>255578</v>
      </c>
      <c r="S17" s="44">
        <f t="shared" si="9"/>
        <v>267156</v>
      </c>
    </row>
    <row r="18" spans="1:20" ht="14">
      <c r="A18" s="2"/>
      <c r="B18" s="34" t="s">
        <v>46</v>
      </c>
      <c r="C18" s="2"/>
      <c r="D18" s="2"/>
      <c r="E18" s="53" t="s">
        <v>18</v>
      </c>
      <c r="F18" s="35">
        <v>5.6000000000000001E-2</v>
      </c>
      <c r="G18" s="35">
        <v>5.8999999999999997E-2</v>
      </c>
      <c r="H18" s="35">
        <v>6.3E-2</v>
      </c>
      <c r="I18" s="63">
        <v>5.7000000000000002E-2</v>
      </c>
      <c r="J18" s="35">
        <v>0.06</v>
      </c>
      <c r="K18" s="35">
        <v>6.5000000000000002E-2</v>
      </c>
      <c r="L18" s="35">
        <v>6.8000000000000005E-2</v>
      </c>
      <c r="M18" s="35">
        <v>6.8000000000000005E-2</v>
      </c>
      <c r="N18" s="35">
        <v>6.5000000000000002E-2</v>
      </c>
      <c r="O18" s="35">
        <v>6.2E-2</v>
      </c>
      <c r="P18" s="35">
        <v>5.8000000000000003E-2</v>
      </c>
      <c r="Q18" s="35">
        <v>0.05</v>
      </c>
      <c r="R18" s="35">
        <v>4.5499999999999999E-2</v>
      </c>
      <c r="S18" s="35">
        <v>4.53E-2</v>
      </c>
    </row>
    <row r="19" spans="1:20" ht="14">
      <c r="A19" s="2"/>
      <c r="B19" s="1" t="s">
        <v>47</v>
      </c>
      <c r="C19" s="2"/>
      <c r="D19" s="2"/>
      <c r="E19" s="44">
        <f t="shared" ref="E19:S19" si="10">ROUND((E17/E15)*1000, 0)</f>
        <v>7393</v>
      </c>
      <c r="F19" s="44">
        <f t="shared" si="10"/>
        <v>7397</v>
      </c>
      <c r="G19" s="44">
        <f t="shared" si="10"/>
        <v>7420</v>
      </c>
      <c r="H19" s="44">
        <f t="shared" si="10"/>
        <v>7485</v>
      </c>
      <c r="I19" s="59">
        <f t="shared" si="10"/>
        <v>7560</v>
      </c>
      <c r="J19" s="44">
        <f t="shared" si="10"/>
        <v>7678</v>
      </c>
      <c r="K19" s="44">
        <f t="shared" si="10"/>
        <v>7841</v>
      </c>
      <c r="L19" s="44">
        <f t="shared" si="10"/>
        <v>8029</v>
      </c>
      <c r="M19" s="44">
        <f t="shared" si="10"/>
        <v>8222</v>
      </c>
      <c r="N19" s="44">
        <f t="shared" si="10"/>
        <v>8403</v>
      </c>
      <c r="O19" s="44">
        <f t="shared" si="10"/>
        <v>8550</v>
      </c>
      <c r="P19" s="44">
        <f t="shared" si="10"/>
        <v>8664</v>
      </c>
      <c r="Q19" s="44">
        <f t="shared" si="10"/>
        <v>8705</v>
      </c>
      <c r="R19" s="44">
        <f t="shared" si="10"/>
        <v>8706</v>
      </c>
      <c r="S19" s="44">
        <f t="shared" si="10"/>
        <v>8707</v>
      </c>
    </row>
    <row r="20" spans="1:20" ht="14">
      <c r="A20" s="2"/>
      <c r="B20" s="34" t="s">
        <v>49</v>
      </c>
      <c r="C20" s="2"/>
      <c r="D20" s="2"/>
      <c r="E20" s="53" t="s">
        <v>18</v>
      </c>
      <c r="F20" s="35">
        <f t="shared" ref="F20:S20" si="11">(F19-E19)/E19</f>
        <v>5.4105234681455427E-4</v>
      </c>
      <c r="G20" s="35">
        <f t="shared" si="11"/>
        <v>3.109368662971475E-3</v>
      </c>
      <c r="H20" s="35">
        <f t="shared" si="11"/>
        <v>8.7601078167115903E-3</v>
      </c>
      <c r="I20" s="63">
        <f t="shared" si="11"/>
        <v>1.002004008016032E-2</v>
      </c>
      <c r="J20" s="35">
        <f t="shared" si="11"/>
        <v>1.5608465608465608E-2</v>
      </c>
      <c r="K20" s="35">
        <f t="shared" si="11"/>
        <v>2.1229486845532691E-2</v>
      </c>
      <c r="L20" s="35">
        <f t="shared" si="11"/>
        <v>2.3976533605407472E-2</v>
      </c>
      <c r="M20" s="35">
        <f t="shared" si="11"/>
        <v>2.4037862747540165E-2</v>
      </c>
      <c r="N20" s="35">
        <f t="shared" si="11"/>
        <v>2.2014108489418632E-2</v>
      </c>
      <c r="O20" s="35">
        <f t="shared" si="11"/>
        <v>1.7493752231345947E-2</v>
      </c>
      <c r="P20" s="35">
        <f t="shared" si="11"/>
        <v>1.3333333333333334E-2</v>
      </c>
      <c r="Q20" s="35">
        <f t="shared" si="11"/>
        <v>4.732225300092336E-3</v>
      </c>
      <c r="R20" s="35">
        <f t="shared" si="11"/>
        <v>1.1487650775416428E-4</v>
      </c>
      <c r="S20" s="35">
        <f t="shared" si="11"/>
        <v>1.1486331265793706E-4</v>
      </c>
    </row>
    <row r="21" spans="1:20" ht="14">
      <c r="A21" s="2"/>
      <c r="B21" s="1" t="s">
        <v>51</v>
      </c>
      <c r="C21" s="2"/>
      <c r="D21" s="2"/>
      <c r="E21" s="44">
        <v>237</v>
      </c>
      <c r="F21" s="44">
        <v>273</v>
      </c>
      <c r="G21" s="44">
        <v>262</v>
      </c>
      <c r="H21" s="44">
        <v>273</v>
      </c>
      <c r="I21" s="59">
        <v>264</v>
      </c>
      <c r="J21" s="44">
        <v>267</v>
      </c>
      <c r="K21" s="44">
        <v>269</v>
      </c>
      <c r="L21" s="44">
        <v>271</v>
      </c>
      <c r="M21" s="44">
        <v>271</v>
      </c>
      <c r="N21" s="44">
        <v>274</v>
      </c>
      <c r="O21" s="44">
        <v>272</v>
      </c>
      <c r="P21" s="44">
        <v>273</v>
      </c>
      <c r="Q21" s="44">
        <v>272</v>
      </c>
      <c r="R21" s="44">
        <v>274</v>
      </c>
      <c r="S21" s="44">
        <v>273</v>
      </c>
    </row>
    <row r="22" spans="1:20" ht="14">
      <c r="A22" s="2"/>
      <c r="B22" s="34" t="s">
        <v>52</v>
      </c>
      <c r="C22" s="2"/>
      <c r="D22" s="2"/>
      <c r="E22" s="58" t="s">
        <v>18</v>
      </c>
      <c r="F22" s="35">
        <f t="shared" ref="F22:S22" si="12">(F21-E21)/E21</f>
        <v>0.15189873417721519</v>
      </c>
      <c r="G22" s="35">
        <f t="shared" si="12"/>
        <v>-4.0293040293040296E-2</v>
      </c>
      <c r="H22" s="35">
        <f t="shared" si="12"/>
        <v>4.1984732824427481E-2</v>
      </c>
      <c r="I22" s="63">
        <f t="shared" si="12"/>
        <v>-3.2967032967032968E-2</v>
      </c>
      <c r="J22" s="35">
        <f t="shared" si="12"/>
        <v>1.1363636363636364E-2</v>
      </c>
      <c r="K22" s="35">
        <f t="shared" si="12"/>
        <v>7.4906367041198503E-3</v>
      </c>
      <c r="L22" s="35">
        <f t="shared" si="12"/>
        <v>7.4349442379182153E-3</v>
      </c>
      <c r="M22" s="35">
        <f t="shared" si="12"/>
        <v>0</v>
      </c>
      <c r="N22" s="35">
        <f t="shared" si="12"/>
        <v>1.107011070110701E-2</v>
      </c>
      <c r="O22" s="35">
        <f t="shared" si="12"/>
        <v>-7.2992700729927005E-3</v>
      </c>
      <c r="P22" s="35">
        <f t="shared" si="12"/>
        <v>3.6764705882352941E-3</v>
      </c>
      <c r="Q22" s="35">
        <f t="shared" si="12"/>
        <v>-3.663003663003663E-3</v>
      </c>
      <c r="R22" s="35">
        <f t="shared" si="12"/>
        <v>7.3529411764705881E-3</v>
      </c>
      <c r="S22" s="35">
        <f t="shared" si="12"/>
        <v>-3.6496350364963502E-3</v>
      </c>
    </row>
    <row r="23" spans="1:20" ht="14">
      <c r="A23" s="2"/>
      <c r="B23" s="47" t="s">
        <v>53</v>
      </c>
      <c r="C23" s="2"/>
      <c r="D23" s="2"/>
      <c r="E23" s="48"/>
      <c r="F23" s="48"/>
      <c r="G23" s="48"/>
      <c r="H23" s="48"/>
      <c r="I23" s="65"/>
      <c r="J23" s="66">
        <f t="shared" ref="J23:S23" si="13">J19*J15*J21</f>
        <v>42761492334</v>
      </c>
      <c r="K23" s="66">
        <f t="shared" si="13"/>
        <v>45884167666</v>
      </c>
      <c r="L23" s="66">
        <f t="shared" si="13"/>
        <v>49368064851</v>
      </c>
      <c r="M23" s="66">
        <f t="shared" si="13"/>
        <v>52727225568</v>
      </c>
      <c r="N23" s="66">
        <f t="shared" si="13"/>
        <v>56770819254</v>
      </c>
      <c r="O23" s="66">
        <f t="shared" si="13"/>
        <v>59853967200</v>
      </c>
      <c r="P23" s="66">
        <f t="shared" si="13"/>
        <v>63559589184</v>
      </c>
      <c r="Q23" s="66">
        <f t="shared" si="13"/>
        <v>66491436320</v>
      </c>
      <c r="R23" s="66">
        <f t="shared" si="13"/>
        <v>70029479508</v>
      </c>
      <c r="S23" s="66">
        <f t="shared" si="13"/>
        <v>72931451502</v>
      </c>
      <c r="T23" s="1"/>
    </row>
    <row r="24" spans="1:20" ht="14">
      <c r="A24" s="2"/>
      <c r="O24" s="44"/>
      <c r="P24" s="44"/>
      <c r="Q24" s="44"/>
      <c r="R24" s="44"/>
      <c r="S24" s="44"/>
      <c r="T24" s="67"/>
    </row>
    <row r="25" spans="1:20" ht="14">
      <c r="A25" s="2"/>
      <c r="O25" s="44"/>
      <c r="P25" s="44"/>
      <c r="Q25" s="44"/>
      <c r="R25" s="44"/>
      <c r="S25" s="44"/>
      <c r="T25" s="2"/>
    </row>
    <row r="26" spans="1:20" ht="15.75" customHeight="1">
      <c r="A26" s="2"/>
      <c r="B26" s="2"/>
      <c r="C26" s="2"/>
      <c r="D26" s="2"/>
      <c r="E26" s="2"/>
      <c r="F26" s="2"/>
      <c r="G26" s="2"/>
      <c r="H26" s="2"/>
      <c r="I26" s="2"/>
      <c r="J26" s="2"/>
      <c r="K26" s="2"/>
      <c r="L26" s="2"/>
      <c r="M26" s="2"/>
      <c r="N26" s="2"/>
      <c r="O26" s="2"/>
      <c r="P26" s="2"/>
      <c r="Q26" s="2"/>
      <c r="R26" s="2"/>
      <c r="T26" s="2"/>
    </row>
    <row r="27" spans="1:20" ht="15.75" customHeight="1">
      <c r="A27" s="2"/>
      <c r="B27" s="2"/>
      <c r="C27" s="2"/>
      <c r="D27" s="2"/>
      <c r="E27" s="2"/>
      <c r="F27" s="2"/>
      <c r="G27" s="2"/>
      <c r="H27" s="2"/>
      <c r="I27" s="2"/>
      <c r="J27" s="2"/>
      <c r="K27" s="2"/>
      <c r="L27" s="2"/>
      <c r="M27" s="2"/>
      <c r="N27" s="2"/>
      <c r="O27" s="2"/>
      <c r="P27" s="2"/>
      <c r="Q27" s="2"/>
      <c r="R27" s="2"/>
      <c r="T27" s="2"/>
    </row>
    <row r="28" spans="1:20" ht="14">
      <c r="A28" s="2"/>
      <c r="B28" s="47" t="s">
        <v>54</v>
      </c>
      <c r="C28" s="2"/>
      <c r="D28" s="2"/>
      <c r="E28" s="51">
        <v>27754</v>
      </c>
      <c r="F28" s="51">
        <v>33746.800000000003</v>
      </c>
      <c r="G28" s="51">
        <v>34220.400000000001</v>
      </c>
      <c r="H28" s="52">
        <v>37844.9</v>
      </c>
      <c r="I28" s="52">
        <v>38691.599999999999</v>
      </c>
      <c r="J28" s="51">
        <f t="shared" ref="J28:S28" si="14">J23/1000000</f>
        <v>42761.492334000002</v>
      </c>
      <c r="K28" s="51">
        <f t="shared" si="14"/>
        <v>45884.167666000001</v>
      </c>
      <c r="L28" s="51">
        <f t="shared" si="14"/>
        <v>49368.064851000003</v>
      </c>
      <c r="M28" s="52">
        <f t="shared" si="14"/>
        <v>52727.225568000002</v>
      </c>
      <c r="N28" s="52">
        <f t="shared" si="14"/>
        <v>56770.819254000002</v>
      </c>
      <c r="O28" s="52">
        <f t="shared" si="14"/>
        <v>59853.967199999999</v>
      </c>
      <c r="P28" s="52">
        <f t="shared" si="14"/>
        <v>63559.589183999997</v>
      </c>
      <c r="Q28" s="52">
        <f t="shared" si="14"/>
        <v>66491.436319999993</v>
      </c>
      <c r="R28" s="52">
        <f t="shared" si="14"/>
        <v>70029.479508000004</v>
      </c>
      <c r="S28" s="52">
        <f t="shared" si="14"/>
        <v>72931.451501999996</v>
      </c>
      <c r="T28" s="2"/>
    </row>
    <row r="29" spans="1:20" ht="14">
      <c r="A29" s="2"/>
      <c r="B29" s="34" t="s">
        <v>55</v>
      </c>
      <c r="C29" s="2"/>
      <c r="D29" s="2"/>
      <c r="E29" s="53" t="s">
        <v>18</v>
      </c>
      <c r="F29" s="35">
        <f t="shared" ref="F29:S29" si="15">(F28-E28)/E28</f>
        <v>0.21592563234128426</v>
      </c>
      <c r="G29" s="35">
        <f t="shared" si="15"/>
        <v>1.4033923216423438E-2</v>
      </c>
      <c r="H29" s="35">
        <f t="shared" si="15"/>
        <v>0.10591635398767986</v>
      </c>
      <c r="I29" s="35">
        <f t="shared" si="15"/>
        <v>2.2372895687397695E-2</v>
      </c>
      <c r="J29" s="35">
        <f t="shared" si="15"/>
        <v>0.10518800809478036</v>
      </c>
      <c r="K29" s="35">
        <f t="shared" si="15"/>
        <v>7.3025405839663243E-2</v>
      </c>
      <c r="L29" s="35">
        <f t="shared" si="15"/>
        <v>7.5928089408965269E-2</v>
      </c>
      <c r="M29" s="35">
        <f t="shared" si="15"/>
        <v>6.8043192033927891E-2</v>
      </c>
      <c r="N29" s="35">
        <f t="shared" si="15"/>
        <v>7.6688914359530527E-2</v>
      </c>
      <c r="O29" s="35">
        <f t="shared" si="15"/>
        <v>5.4308674535866637E-2</v>
      </c>
      <c r="P29" s="35">
        <f t="shared" si="15"/>
        <v>6.191105046751183E-2</v>
      </c>
      <c r="Q29" s="35">
        <f t="shared" si="15"/>
        <v>4.6127534391585359E-2</v>
      </c>
      <c r="R29" s="35">
        <f t="shared" si="15"/>
        <v>5.3210509259758627E-2</v>
      </c>
      <c r="S29" s="35">
        <f t="shared" si="15"/>
        <v>4.1439291201193031E-2</v>
      </c>
      <c r="T29" s="67"/>
    </row>
    <row r="30" spans="1:20" ht="14">
      <c r="A30" s="2"/>
      <c r="B30" s="60" t="s">
        <v>119</v>
      </c>
      <c r="C30" s="2"/>
      <c r="D30" s="2"/>
      <c r="E30" s="125">
        <f t="shared" ref="E30:S30" si="16">(1-0.32)*E28</f>
        <v>18872.719999999998</v>
      </c>
      <c r="F30" s="125">
        <f t="shared" si="16"/>
        <v>22947.824000000001</v>
      </c>
      <c r="G30" s="125">
        <f t="shared" si="16"/>
        <v>23269.871999999999</v>
      </c>
      <c r="H30" s="125">
        <f t="shared" si="16"/>
        <v>25734.531999999999</v>
      </c>
      <c r="I30" s="125">
        <f t="shared" si="16"/>
        <v>26310.287999999997</v>
      </c>
      <c r="J30" s="125">
        <f t="shared" si="16"/>
        <v>29077.814787119998</v>
      </c>
      <c r="K30" s="125">
        <f t="shared" si="16"/>
        <v>31201.234012879999</v>
      </c>
      <c r="L30" s="125">
        <f t="shared" si="16"/>
        <v>33570.28409868</v>
      </c>
      <c r="M30" s="125">
        <f t="shared" si="16"/>
        <v>35854.513386239996</v>
      </c>
      <c r="N30" s="125">
        <f t="shared" si="16"/>
        <v>38604.157092720001</v>
      </c>
      <c r="O30" s="125">
        <f t="shared" si="16"/>
        <v>40700.697695999996</v>
      </c>
      <c r="P30" s="125">
        <f t="shared" si="16"/>
        <v>43220.520645119992</v>
      </c>
      <c r="Q30" s="125">
        <f t="shared" si="16"/>
        <v>45214.176697599993</v>
      </c>
      <c r="R30" s="125">
        <f t="shared" si="16"/>
        <v>47620.046065440001</v>
      </c>
      <c r="S30" s="125">
        <f t="shared" si="16"/>
        <v>49593.387021359995</v>
      </c>
      <c r="T30" s="2"/>
    </row>
    <row r="31" spans="1:20" ht="14">
      <c r="A31" s="2"/>
      <c r="B31" s="47" t="s">
        <v>57</v>
      </c>
      <c r="C31" s="2"/>
      <c r="D31" s="2"/>
      <c r="E31" s="2"/>
      <c r="F31" s="2"/>
      <c r="G31" s="2"/>
      <c r="H31" s="2"/>
      <c r="I31" s="2"/>
      <c r="J31" s="2"/>
      <c r="K31" s="2"/>
      <c r="L31" s="2"/>
      <c r="M31" s="2"/>
      <c r="N31" s="2"/>
      <c r="O31" s="2"/>
      <c r="P31" s="2"/>
      <c r="Q31" s="2"/>
      <c r="R31" s="2"/>
      <c r="T31" s="2"/>
    </row>
    <row r="32" spans="1:20" ht="14">
      <c r="A32" s="2"/>
      <c r="B32" s="1" t="s">
        <v>58</v>
      </c>
      <c r="C32" s="2"/>
      <c r="D32" s="2"/>
      <c r="E32" s="56">
        <v>0.78</v>
      </c>
      <c r="F32" s="56">
        <v>0.76800000000000002</v>
      </c>
      <c r="G32" s="56">
        <v>0.76700000000000002</v>
      </c>
      <c r="H32" s="56">
        <v>0.79700000000000004</v>
      </c>
      <c r="I32" s="56">
        <v>0.81</v>
      </c>
      <c r="J32" s="57">
        <v>0.81</v>
      </c>
      <c r="K32" s="57">
        <v>0.81</v>
      </c>
      <c r="L32" s="56">
        <v>0.81499999999999995</v>
      </c>
      <c r="M32" s="56">
        <v>0.81499999999999995</v>
      </c>
      <c r="N32" s="56">
        <v>0.82</v>
      </c>
      <c r="O32" s="2"/>
      <c r="P32" s="2"/>
      <c r="Q32" s="2"/>
      <c r="R32" s="2"/>
      <c r="T32" s="67"/>
    </row>
    <row r="33" spans="1:20" ht="14">
      <c r="A33" s="2"/>
      <c r="B33" s="34" t="s">
        <v>59</v>
      </c>
      <c r="C33" s="2"/>
      <c r="D33" s="2"/>
      <c r="E33" s="58" t="s">
        <v>18</v>
      </c>
      <c r="F33" s="36">
        <f t="shared" ref="F33:N33" si="17">(F32-E32)/E32</f>
        <v>-1.5384615384615398E-2</v>
      </c>
      <c r="G33" s="36">
        <f t="shared" si="17"/>
        <v>-1.3020833333333346E-3</v>
      </c>
      <c r="H33" s="36">
        <f t="shared" si="17"/>
        <v>3.9113428943937455E-2</v>
      </c>
      <c r="I33" s="36">
        <f t="shared" si="17"/>
        <v>1.6311166875784204E-2</v>
      </c>
      <c r="J33" s="36">
        <f t="shared" si="17"/>
        <v>0</v>
      </c>
      <c r="K33" s="36">
        <f t="shared" si="17"/>
        <v>0</v>
      </c>
      <c r="L33" s="36">
        <f t="shared" si="17"/>
        <v>6.1728395061727073E-3</v>
      </c>
      <c r="M33" s="36">
        <f t="shared" si="17"/>
        <v>0</v>
      </c>
      <c r="N33" s="36">
        <f t="shared" si="17"/>
        <v>6.1349693251533804E-3</v>
      </c>
      <c r="O33" s="2"/>
      <c r="P33" s="2"/>
      <c r="Q33" s="2"/>
      <c r="R33" s="2"/>
      <c r="T33" s="2"/>
    </row>
    <row r="34" spans="1:20" ht="14">
      <c r="A34" s="2"/>
      <c r="B34" s="1" t="s">
        <v>60</v>
      </c>
      <c r="C34" s="2"/>
      <c r="D34" s="2"/>
      <c r="E34" s="56">
        <v>0.11700000000000001</v>
      </c>
      <c r="F34" s="56">
        <v>0.121</v>
      </c>
      <c r="G34" s="56">
        <v>0.122</v>
      </c>
      <c r="H34" s="56">
        <v>0.11</v>
      </c>
      <c r="I34" s="56">
        <v>0.106</v>
      </c>
      <c r="J34" s="56">
        <v>0.105</v>
      </c>
      <c r="K34" s="56">
        <v>0.105</v>
      </c>
      <c r="L34" s="57">
        <v>0.1</v>
      </c>
      <c r="M34" s="57">
        <v>0.1</v>
      </c>
      <c r="N34" s="56">
        <v>9.5000000000000001E-2</v>
      </c>
      <c r="O34" s="2"/>
      <c r="P34" s="2"/>
      <c r="Q34" s="2"/>
      <c r="R34" s="2"/>
      <c r="T34" s="2"/>
    </row>
    <row r="35" spans="1:20" ht="14">
      <c r="A35" s="2"/>
      <c r="B35" s="34" t="s">
        <v>61</v>
      </c>
      <c r="C35" s="2"/>
      <c r="D35" s="2"/>
      <c r="E35" s="58" t="s">
        <v>18</v>
      </c>
      <c r="F35" s="36">
        <f t="shared" ref="F35:N35" si="18">(F34-E34)/E34</f>
        <v>3.4188034188034101E-2</v>
      </c>
      <c r="G35" s="36">
        <f t="shared" si="18"/>
        <v>8.2644628099173625E-3</v>
      </c>
      <c r="H35" s="36">
        <f t="shared" si="18"/>
        <v>-9.8360655737704888E-2</v>
      </c>
      <c r="I35" s="36">
        <f t="shared" si="18"/>
        <v>-3.6363636363636397E-2</v>
      </c>
      <c r="J35" s="36">
        <f t="shared" si="18"/>
        <v>-9.4339622641509517E-3</v>
      </c>
      <c r="K35" s="36">
        <f t="shared" si="18"/>
        <v>0</v>
      </c>
      <c r="L35" s="36">
        <f t="shared" si="18"/>
        <v>-4.7619047619047533E-2</v>
      </c>
      <c r="M35" s="36">
        <f t="shared" si="18"/>
        <v>0</v>
      </c>
      <c r="N35" s="36">
        <f t="shared" si="18"/>
        <v>-5.0000000000000044E-2</v>
      </c>
      <c r="O35" s="2"/>
      <c r="P35" s="2"/>
      <c r="Q35" s="2"/>
      <c r="R35" s="2"/>
      <c r="T35" s="2"/>
    </row>
    <row r="36" spans="1:20" ht="14">
      <c r="A36" s="2"/>
      <c r="B36" s="1" t="s">
        <v>62</v>
      </c>
      <c r="C36" s="2"/>
      <c r="D36" s="2"/>
      <c r="E36" s="56">
        <v>5.8000000000000003E-2</v>
      </c>
      <c r="F36" s="56">
        <v>6.5000000000000002E-2</v>
      </c>
      <c r="G36" s="56">
        <v>6.8000000000000005E-2</v>
      </c>
      <c r="H36" s="56">
        <v>6.2E-2</v>
      </c>
      <c r="I36" s="56">
        <v>5.6000000000000001E-2</v>
      </c>
      <c r="J36" s="56">
        <v>5.5E-2</v>
      </c>
      <c r="K36" s="56">
        <v>5.5E-2</v>
      </c>
      <c r="L36" s="56">
        <v>5.2999999999999999E-2</v>
      </c>
      <c r="M36" s="56">
        <v>5.0999999999999997E-2</v>
      </c>
      <c r="N36" s="56">
        <v>5.0999999999999997E-2</v>
      </c>
      <c r="O36" s="2"/>
      <c r="P36" s="60"/>
      <c r="Q36" s="2"/>
      <c r="R36" s="2"/>
    </row>
    <row r="37" spans="1:20" ht="14">
      <c r="A37" s="2"/>
      <c r="B37" s="34" t="s">
        <v>63</v>
      </c>
      <c r="C37" s="2"/>
      <c r="D37" s="2"/>
      <c r="E37" s="58" t="s">
        <v>18</v>
      </c>
      <c r="F37" s="36">
        <f t="shared" ref="F37:N37" si="19">(F36-E36)/E36</f>
        <v>0.12068965517241377</v>
      </c>
      <c r="G37" s="36">
        <f t="shared" si="19"/>
        <v>4.6153846153846191E-2</v>
      </c>
      <c r="H37" s="36">
        <f t="shared" si="19"/>
        <v>-8.8235294117647134E-2</v>
      </c>
      <c r="I37" s="36">
        <f t="shared" si="19"/>
        <v>-9.6774193548387066E-2</v>
      </c>
      <c r="J37" s="36">
        <f t="shared" si="19"/>
        <v>-1.7857142857142873E-2</v>
      </c>
      <c r="K37" s="36">
        <f t="shared" si="19"/>
        <v>0</v>
      </c>
      <c r="L37" s="36">
        <f t="shared" si="19"/>
        <v>-3.6363636363636397E-2</v>
      </c>
      <c r="M37" s="36">
        <f t="shared" si="19"/>
        <v>-3.7735849056603807E-2</v>
      </c>
      <c r="N37" s="36">
        <f t="shared" si="19"/>
        <v>0</v>
      </c>
      <c r="O37" s="2"/>
      <c r="P37" s="2"/>
      <c r="Q37" s="2"/>
      <c r="R37" s="2"/>
    </row>
    <row r="38" spans="1:20" ht="14">
      <c r="A38" s="2"/>
      <c r="B38" s="1" t="s">
        <v>64</v>
      </c>
      <c r="C38" s="2"/>
      <c r="D38" s="2"/>
      <c r="E38" s="56">
        <v>4.4999999999999998E-2</v>
      </c>
      <c r="F38" s="56">
        <v>4.5999999999999999E-2</v>
      </c>
      <c r="G38" s="56">
        <v>4.2999999999999997E-2</v>
      </c>
      <c r="H38" s="56">
        <v>3.1E-2</v>
      </c>
      <c r="I38" s="56">
        <v>2.8000000000000001E-2</v>
      </c>
      <c r="J38" s="56">
        <f t="shared" ref="J38:N38" si="20">1-J36-J34-J32</f>
        <v>2.9999999999999916E-2</v>
      </c>
      <c r="K38" s="56">
        <f t="shared" si="20"/>
        <v>2.9999999999999916E-2</v>
      </c>
      <c r="L38" s="56">
        <f t="shared" si="20"/>
        <v>3.2000000000000028E-2</v>
      </c>
      <c r="M38" s="56">
        <f t="shared" si="20"/>
        <v>3.400000000000003E-2</v>
      </c>
      <c r="N38" s="56">
        <f t="shared" si="20"/>
        <v>3.400000000000003E-2</v>
      </c>
      <c r="O38" s="2"/>
      <c r="P38" s="2"/>
      <c r="Q38" s="2"/>
      <c r="R38" s="2"/>
    </row>
    <row r="39" spans="1:20" ht="14">
      <c r="A39" s="2"/>
      <c r="B39" s="34" t="s">
        <v>65</v>
      </c>
      <c r="C39" s="2"/>
      <c r="D39" s="2"/>
      <c r="E39" s="53" t="s">
        <v>18</v>
      </c>
      <c r="F39" s="36">
        <f t="shared" ref="F39:N39" si="21">(F38-E38)/E38</f>
        <v>2.2222222222222244E-2</v>
      </c>
      <c r="G39" s="36">
        <f t="shared" si="21"/>
        <v>-6.521739130434788E-2</v>
      </c>
      <c r="H39" s="36">
        <f t="shared" si="21"/>
        <v>-0.27906976744186041</v>
      </c>
      <c r="I39" s="36">
        <f t="shared" si="21"/>
        <v>-9.6774193548387066E-2</v>
      </c>
      <c r="J39" s="36">
        <f t="shared" si="21"/>
        <v>7.1428571428568399E-2</v>
      </c>
      <c r="K39" s="36">
        <f t="shared" si="21"/>
        <v>0</v>
      </c>
      <c r="L39" s="36">
        <f t="shared" si="21"/>
        <v>6.6666666666670621E-2</v>
      </c>
      <c r="M39" s="36">
        <f t="shared" si="21"/>
        <v>6.25E-2</v>
      </c>
      <c r="N39" s="36">
        <f t="shared" si="21"/>
        <v>0</v>
      </c>
      <c r="O39" s="2"/>
      <c r="P39" s="2"/>
      <c r="Q39" s="2"/>
      <c r="R39" s="2"/>
    </row>
    <row r="40" spans="1:20" ht="15.75" customHeight="1">
      <c r="P40" s="2"/>
    </row>
    <row r="41" spans="1:20" ht="15.75" customHeight="1">
      <c r="P41" s="2"/>
    </row>
    <row r="42" spans="1:20" ht="15.75" customHeight="1">
      <c r="P42" s="2"/>
    </row>
    <row r="43" spans="1:20" ht="15.75" customHeight="1">
      <c r="P43" s="2"/>
    </row>
    <row r="44" spans="1:20" ht="15.75" customHeight="1">
      <c r="P44" s="2"/>
    </row>
    <row r="45" spans="1:20" ht="15.75" customHeight="1">
      <c r="P45" s="2"/>
    </row>
    <row r="46" spans="1:20" ht="15.75" customHeight="1">
      <c r="P46" s="46"/>
    </row>
  </sheetData>
  <mergeCells count="4">
    <mergeCell ref="E2:N2"/>
    <mergeCell ref="E3:I3"/>
    <mergeCell ref="J3:N3"/>
    <mergeCell ref="P3:R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37"/>
  <sheetViews>
    <sheetView showGridLines="0" workbookViewId="0"/>
  </sheetViews>
  <sheetFormatPr baseColWidth="10" defaultColWidth="12.6640625" defaultRowHeight="15.75" customHeight="1" outlineLevelCol="1"/>
  <cols>
    <col min="2" max="2" width="12.6640625" collapsed="1"/>
    <col min="3" max="3" width="12.6640625" hidden="1" outlineLevel="1"/>
  </cols>
  <sheetData>
    <row r="1" spans="1:16" ht="15">
      <c r="A1" s="71" t="s">
        <v>66</v>
      </c>
      <c r="B1" s="205" t="s">
        <v>2</v>
      </c>
      <c r="C1" s="206"/>
      <c r="D1" s="206"/>
      <c r="E1" s="206"/>
      <c r="F1" s="211"/>
      <c r="G1" s="205" t="s">
        <v>3</v>
      </c>
      <c r="H1" s="206"/>
      <c r="I1" s="206"/>
      <c r="J1" s="206"/>
      <c r="K1" s="206"/>
      <c r="L1" s="72"/>
      <c r="M1" s="72"/>
      <c r="N1" s="72"/>
      <c r="O1" s="72"/>
      <c r="P1" s="72"/>
    </row>
    <row r="2" spans="1:16" ht="14">
      <c r="A2" s="71" t="s">
        <v>4</v>
      </c>
      <c r="B2" s="73">
        <v>2019</v>
      </c>
      <c r="C2" s="73">
        <v>2020</v>
      </c>
      <c r="D2" s="73">
        <v>2021</v>
      </c>
      <c r="E2" s="73">
        <v>2022</v>
      </c>
      <c r="F2" s="74">
        <v>2023</v>
      </c>
      <c r="G2" s="73">
        <v>2024</v>
      </c>
      <c r="H2" s="73">
        <v>2025</v>
      </c>
      <c r="I2" s="73">
        <v>2026</v>
      </c>
      <c r="J2" s="73">
        <v>2027</v>
      </c>
      <c r="K2" s="73">
        <v>2028</v>
      </c>
      <c r="L2" s="1">
        <v>2029</v>
      </c>
      <c r="M2" s="75">
        <v>2030</v>
      </c>
      <c r="N2" s="1">
        <v>2031</v>
      </c>
      <c r="O2" s="1">
        <v>2032</v>
      </c>
      <c r="P2" s="44">
        <v>2033</v>
      </c>
    </row>
    <row r="3" spans="1:16" ht="14">
      <c r="A3" s="71" t="s">
        <v>67</v>
      </c>
      <c r="B3" s="51">
        <f>'Revenue Build (Base Case)'!E28</f>
        <v>27754</v>
      </c>
      <c r="C3" s="51">
        <f>'Revenue Build (Base Case)'!F28</f>
        <v>33746.800000000003</v>
      </c>
      <c r="D3" s="51">
        <f>'Revenue Build (Base Case)'!G28</f>
        <v>34220.400000000001</v>
      </c>
      <c r="E3" s="51">
        <f>'Revenue Build (Base Case)'!H28</f>
        <v>37844.9</v>
      </c>
      <c r="F3" s="76">
        <f>'Revenue Build (Base Case)'!I28</f>
        <v>38691.599999999999</v>
      </c>
      <c r="G3" s="109">
        <f>'Revenue Build (Bull Case)'!J28</f>
        <v>42761.492334000002</v>
      </c>
      <c r="H3" s="109">
        <f>'Revenue Build (Bull Case)'!K28</f>
        <v>45884.167666000001</v>
      </c>
      <c r="I3" s="109">
        <f>'Revenue Build (Bull Case)'!L28</f>
        <v>49368.064851000003</v>
      </c>
      <c r="J3" s="109">
        <f>'Revenue Build (Bull Case)'!M28</f>
        <v>52727.225568000002</v>
      </c>
      <c r="K3" s="109">
        <f>'Revenue Build (Bull Case)'!N28</f>
        <v>56770.819254000002</v>
      </c>
      <c r="L3" s="109">
        <f>'Revenue Build (Bull Case)'!O28</f>
        <v>59853.967199999999</v>
      </c>
      <c r="M3" s="109">
        <f>'Revenue Build (Bull Case)'!P28</f>
        <v>63559.589183999997</v>
      </c>
      <c r="N3" s="109">
        <f>'Revenue Build (Bull Case)'!Q28</f>
        <v>66491.436319999993</v>
      </c>
      <c r="O3" s="109">
        <f>'Revenue Build (Bull Case)'!R28</f>
        <v>70029.479508000004</v>
      </c>
      <c r="P3" s="109">
        <f>'Revenue Build (Bull Case)'!S28</f>
        <v>72931.451501999996</v>
      </c>
    </row>
    <row r="4" spans="1:16" ht="15.75" customHeight="1">
      <c r="A4" s="81" t="s">
        <v>68</v>
      </c>
      <c r="B4" s="82">
        <v>8.3000000000000004E-2</v>
      </c>
      <c r="C4" s="82">
        <v>0.216</v>
      </c>
      <c r="D4" s="82">
        <v>1.4E-2</v>
      </c>
      <c r="E4" s="82">
        <v>0.106</v>
      </c>
      <c r="F4" s="83">
        <v>2.1999999999999999E-2</v>
      </c>
      <c r="G4" s="29">
        <f t="shared" ref="G4:P4" si="0">(G3-F3)/F3</f>
        <v>0.10518800809478036</v>
      </c>
      <c r="H4" s="29">
        <f t="shared" si="0"/>
        <v>7.3025405839663243E-2</v>
      </c>
      <c r="I4" s="29">
        <f t="shared" si="0"/>
        <v>7.5928089408965269E-2</v>
      </c>
      <c r="J4" s="29">
        <f t="shared" si="0"/>
        <v>6.8043192033927891E-2</v>
      </c>
      <c r="K4" s="29">
        <f t="shared" si="0"/>
        <v>7.6688914359530527E-2</v>
      </c>
      <c r="L4" s="29">
        <f t="shared" si="0"/>
        <v>5.4308674535866637E-2</v>
      </c>
      <c r="M4" s="29">
        <f t="shared" si="0"/>
        <v>6.191105046751183E-2</v>
      </c>
      <c r="N4" s="29">
        <f t="shared" si="0"/>
        <v>4.6127534391585359E-2</v>
      </c>
      <c r="O4" s="29">
        <f t="shared" si="0"/>
        <v>5.3210509259758627E-2</v>
      </c>
      <c r="P4" s="29">
        <f t="shared" si="0"/>
        <v>4.1439291201193031E-2</v>
      </c>
    </row>
    <row r="5" spans="1:16" ht="14">
      <c r="A5" s="71" t="s">
        <v>69</v>
      </c>
      <c r="B5" s="51">
        <v>2336.9</v>
      </c>
      <c r="C5" s="51">
        <v>3557.5</v>
      </c>
      <c r="D5" s="51">
        <v>3223.3</v>
      </c>
      <c r="E5" s="51">
        <v>3330.4</v>
      </c>
      <c r="F5" s="76">
        <v>2453</v>
      </c>
      <c r="G5" s="113">
        <f t="shared" ref="G5:P5" si="1">G3*G6</f>
        <v>2856.4676879112003</v>
      </c>
      <c r="H5" s="113">
        <f t="shared" si="1"/>
        <v>3065.0624000888001</v>
      </c>
      <c r="I5" s="113">
        <f t="shared" si="1"/>
        <v>3544.6270563018002</v>
      </c>
      <c r="J5" s="113">
        <f t="shared" si="1"/>
        <v>4049.4509236224003</v>
      </c>
      <c r="K5" s="113">
        <f t="shared" si="1"/>
        <v>4927.7071112472004</v>
      </c>
      <c r="L5" s="113">
        <f t="shared" si="1"/>
        <v>5494.5941889599999</v>
      </c>
      <c r="M5" s="113">
        <f t="shared" si="1"/>
        <v>5834.7702870911999</v>
      </c>
      <c r="N5" s="113">
        <f t="shared" si="1"/>
        <v>6183.7035777599995</v>
      </c>
      <c r="O5" s="113">
        <f t="shared" si="1"/>
        <v>6652.80055326</v>
      </c>
      <c r="P5" s="113">
        <f t="shared" si="1"/>
        <v>6928.4878926900001</v>
      </c>
    </row>
    <row r="6" spans="1:16" ht="15.75" customHeight="1">
      <c r="A6" s="81" t="s">
        <v>70</v>
      </c>
      <c r="B6" s="82">
        <v>8.4000000000000005E-2</v>
      </c>
      <c r="C6" s="82">
        <v>0.105</v>
      </c>
      <c r="D6" s="82">
        <v>9.4E-2</v>
      </c>
      <c r="E6" s="82">
        <v>8.7999999999999995E-2</v>
      </c>
      <c r="F6" s="83">
        <v>6.3E-2</v>
      </c>
      <c r="G6" s="111">
        <f>AVERAGE(B6:F6)-0.02</f>
        <v>6.6799999999999998E-2</v>
      </c>
      <c r="H6" s="111">
        <f>G6</f>
        <v>6.6799999999999998E-2</v>
      </c>
      <c r="I6" s="111">
        <f t="shared" ref="I6:J6" si="2">H6+0.005</f>
        <v>7.1800000000000003E-2</v>
      </c>
      <c r="J6" s="111">
        <f t="shared" si="2"/>
        <v>7.6800000000000007E-2</v>
      </c>
      <c r="K6" s="114">
        <v>8.6800000000000002E-2</v>
      </c>
      <c r="L6" s="114">
        <v>9.1800000000000007E-2</v>
      </c>
      <c r="M6" s="114">
        <v>9.1800000000000007E-2</v>
      </c>
      <c r="N6" s="114">
        <v>9.2999999999999999E-2</v>
      </c>
      <c r="O6" s="114">
        <v>9.5000000000000001E-2</v>
      </c>
      <c r="P6" s="114">
        <v>9.5000000000000001E-2</v>
      </c>
    </row>
    <row r="7" spans="1:16" ht="14">
      <c r="A7" s="71" t="s">
        <v>71</v>
      </c>
      <c r="B7" s="51">
        <f t="shared" ref="B7:F7" si="3">B5*(1-$B23)</f>
        <v>2230.10367</v>
      </c>
      <c r="C7" s="51">
        <f t="shared" si="3"/>
        <v>3394.9222500000001</v>
      </c>
      <c r="D7" s="51">
        <f t="shared" si="3"/>
        <v>3075.9951900000001</v>
      </c>
      <c r="E7" s="51">
        <f t="shared" si="3"/>
        <v>3178.2007200000003</v>
      </c>
      <c r="F7" s="76">
        <f t="shared" si="3"/>
        <v>2340.8978999999999</v>
      </c>
      <c r="G7" s="112">
        <f t="shared" ref="G7:P7" si="4">G5*(1-$B25)</f>
        <v>2239.4706673223809</v>
      </c>
      <c r="H7" s="112">
        <f t="shared" si="4"/>
        <v>2403.0089216696192</v>
      </c>
      <c r="I7" s="112">
        <f t="shared" si="4"/>
        <v>2778.9876121406114</v>
      </c>
      <c r="J7" s="112">
        <f t="shared" si="4"/>
        <v>3174.7695241199622</v>
      </c>
      <c r="K7" s="112">
        <f t="shared" si="4"/>
        <v>3863.3223752178051</v>
      </c>
      <c r="L7" s="112">
        <f t="shared" si="4"/>
        <v>4307.7618441446402</v>
      </c>
      <c r="M7" s="112">
        <f t="shared" si="4"/>
        <v>4574.4599050795005</v>
      </c>
      <c r="N7" s="112">
        <f t="shared" si="4"/>
        <v>4848.0236049638397</v>
      </c>
      <c r="O7" s="112">
        <f t="shared" si="4"/>
        <v>5215.7956337558398</v>
      </c>
      <c r="P7" s="112">
        <f t="shared" si="4"/>
        <v>5431.9345078689603</v>
      </c>
    </row>
    <row r="8" spans="1:16" ht="15.75" customHeight="1">
      <c r="A8" s="81" t="s">
        <v>70</v>
      </c>
      <c r="B8" s="82">
        <f t="shared" ref="B8:P8" si="5">B7/B3</f>
        <v>8.0352513871874323E-2</v>
      </c>
      <c r="C8" s="82">
        <f t="shared" si="5"/>
        <v>0.10059982724287932</v>
      </c>
      <c r="D8" s="82">
        <f t="shared" si="5"/>
        <v>8.9887762562681911E-2</v>
      </c>
      <c r="E8" s="82">
        <f t="shared" si="5"/>
        <v>8.3979630544670489E-2</v>
      </c>
      <c r="F8" s="83">
        <f t="shared" si="5"/>
        <v>6.0501449927115966E-2</v>
      </c>
      <c r="G8" s="29">
        <f t="shared" si="5"/>
        <v>5.23712E-2</v>
      </c>
      <c r="H8" s="29">
        <f t="shared" si="5"/>
        <v>5.23712E-2</v>
      </c>
      <c r="I8" s="29">
        <f t="shared" si="5"/>
        <v>5.62912E-2</v>
      </c>
      <c r="J8" s="29">
        <f t="shared" si="5"/>
        <v>6.0211200000000006E-2</v>
      </c>
      <c r="K8" s="29">
        <f t="shared" si="5"/>
        <v>6.8051200000000006E-2</v>
      </c>
      <c r="L8" s="29">
        <f t="shared" si="5"/>
        <v>7.1971199999999999E-2</v>
      </c>
      <c r="M8" s="29">
        <f t="shared" si="5"/>
        <v>7.1971199999999999E-2</v>
      </c>
      <c r="N8" s="29">
        <f t="shared" si="5"/>
        <v>7.2912000000000005E-2</v>
      </c>
      <c r="O8" s="29">
        <f t="shared" si="5"/>
        <v>7.4479999999999991E-2</v>
      </c>
      <c r="P8" s="29">
        <f t="shared" si="5"/>
        <v>7.4480000000000005E-2</v>
      </c>
    </row>
    <row r="9" spans="1:16" ht="14">
      <c r="A9" s="71" t="s">
        <v>72</v>
      </c>
      <c r="B9" s="51">
        <v>504.8</v>
      </c>
      <c r="C9" s="51">
        <v>574.20000000000005</v>
      </c>
      <c r="D9" s="51">
        <v>641.29999999999995</v>
      </c>
      <c r="E9" s="51">
        <v>724.9</v>
      </c>
      <c r="F9" s="76">
        <v>848.8</v>
      </c>
      <c r="G9" s="113">
        <f t="shared" ref="G9:P9" si="6">G10*G3</f>
        <v>2095.618218898524</v>
      </c>
      <c r="H9" s="113">
        <f t="shared" si="6"/>
        <v>2248.6515898185808</v>
      </c>
      <c r="I9" s="113">
        <f t="shared" si="6"/>
        <v>2221.5629182950001</v>
      </c>
      <c r="J9" s="113">
        <f t="shared" si="6"/>
        <v>2372.7251505600002</v>
      </c>
      <c r="K9" s="113">
        <f t="shared" si="6"/>
        <v>2668.2285049380002</v>
      </c>
      <c r="L9" s="113">
        <f t="shared" si="6"/>
        <v>2932.8443928000002</v>
      </c>
      <c r="M9" s="113">
        <f t="shared" si="6"/>
        <v>3177.9794591999998</v>
      </c>
      <c r="N9" s="113">
        <f t="shared" si="6"/>
        <v>3058.6060707199995</v>
      </c>
      <c r="O9" s="113">
        <f t="shared" si="6"/>
        <v>3011.267618844</v>
      </c>
      <c r="P9" s="113">
        <f t="shared" si="6"/>
        <v>2917.2580600799997</v>
      </c>
    </row>
    <row r="10" spans="1:16" ht="15.75" customHeight="1">
      <c r="A10" s="81" t="s">
        <v>70</v>
      </c>
      <c r="B10" s="82">
        <f t="shared" ref="B10:F10" si="7">B9/B3</f>
        <v>1.8188369244072928E-2</v>
      </c>
      <c r="C10" s="82">
        <f t="shared" si="7"/>
        <v>1.7014946602344518E-2</v>
      </c>
      <c r="D10" s="82">
        <f t="shared" si="7"/>
        <v>1.8740283573540926E-2</v>
      </c>
      <c r="E10" s="82">
        <f t="shared" si="7"/>
        <v>1.9154496378640185E-2</v>
      </c>
      <c r="F10" s="83">
        <f t="shared" si="7"/>
        <v>2.1937578182344489E-2</v>
      </c>
      <c r="G10" s="114">
        <f>AVERAGE(B10:F10)+0.03</f>
        <v>4.9007134796188609E-2</v>
      </c>
      <c r="H10" s="114">
        <f>AVERAGE(B10:F10)+0.03</f>
        <v>4.9007134796188609E-2</v>
      </c>
      <c r="I10" s="114">
        <v>4.4999999999999998E-2</v>
      </c>
      <c r="J10" s="114">
        <v>4.4999999999999998E-2</v>
      </c>
      <c r="K10" s="114">
        <v>4.7E-2</v>
      </c>
      <c r="L10" s="114">
        <v>4.9000000000000002E-2</v>
      </c>
      <c r="M10" s="114">
        <v>0.05</v>
      </c>
      <c r="N10" s="114">
        <v>4.5999999999999999E-2</v>
      </c>
      <c r="O10" s="114">
        <v>4.2999999999999997E-2</v>
      </c>
      <c r="P10" s="114">
        <v>0.04</v>
      </c>
    </row>
    <row r="11" spans="1:16" ht="14">
      <c r="A11" s="71" t="s">
        <v>73</v>
      </c>
      <c r="B11" s="91">
        <v>-784.8</v>
      </c>
      <c r="C11" s="91">
        <v>-1028</v>
      </c>
      <c r="D11" s="91">
        <v>-1070.5</v>
      </c>
      <c r="E11" s="91">
        <v>-1560.6</v>
      </c>
      <c r="F11" s="92">
        <v>-1700.2</v>
      </c>
      <c r="G11" s="113">
        <f t="shared" ref="G11:P11" si="8">G12*G3</f>
        <v>-2779.4970017100004</v>
      </c>
      <c r="H11" s="113">
        <f t="shared" si="8"/>
        <v>-2982.4708982900002</v>
      </c>
      <c r="I11" s="113">
        <f t="shared" si="8"/>
        <v>-2942.3419470034241</v>
      </c>
      <c r="J11" s="113">
        <f t="shared" si="8"/>
        <v>-3378.4883219862904</v>
      </c>
      <c r="K11" s="113">
        <f t="shared" si="8"/>
        <v>-3285.7047478543336</v>
      </c>
      <c r="L11" s="113">
        <f t="shared" si="8"/>
        <v>-2992.6983600000003</v>
      </c>
      <c r="M11" s="113">
        <f t="shared" si="8"/>
        <v>-3177.9794591999998</v>
      </c>
      <c r="N11" s="113">
        <f t="shared" si="8"/>
        <v>-3191.5889433599996</v>
      </c>
      <c r="O11" s="113">
        <f t="shared" si="8"/>
        <v>-3221.3560573680002</v>
      </c>
      <c r="P11" s="113">
        <f t="shared" si="8"/>
        <v>-2917.2580600799997</v>
      </c>
    </row>
    <row r="12" spans="1:16" ht="15.75" customHeight="1">
      <c r="A12" s="81" t="s">
        <v>70</v>
      </c>
      <c r="B12" s="82">
        <f t="shared" ref="B12:F12" si="9">B11/B3</f>
        <v>-2.8277005116379619E-2</v>
      </c>
      <c r="C12" s="82">
        <f t="shared" si="9"/>
        <v>-3.0462147522135431E-2</v>
      </c>
      <c r="D12" s="82">
        <f t="shared" si="9"/>
        <v>-3.1282509847926965E-2</v>
      </c>
      <c r="E12" s="82">
        <f t="shared" si="9"/>
        <v>-4.1236732029943261E-2</v>
      </c>
      <c r="F12" s="83">
        <f t="shared" si="9"/>
        <v>-4.3942354412844137E-2</v>
      </c>
      <c r="G12" s="116">
        <v>-6.5000000000000002E-2</v>
      </c>
      <c r="H12" s="116">
        <v>-6.5000000000000002E-2</v>
      </c>
      <c r="I12" s="116">
        <f t="shared" ref="I12:J12" si="10">AVERAGE(B12:H12)-0.016</f>
        <v>-5.960010698988992E-2</v>
      </c>
      <c r="J12" s="116">
        <f t="shared" si="10"/>
        <v>-6.4074835828962812E-2</v>
      </c>
      <c r="K12" s="116">
        <f>AVERAGE(D12:J12)-0.005</f>
        <v>-5.7876648444223869E-2</v>
      </c>
      <c r="L12" s="116">
        <v>-0.05</v>
      </c>
      <c r="M12" s="117">
        <v>-0.05</v>
      </c>
      <c r="N12" s="116">
        <v>-4.8000000000000001E-2</v>
      </c>
      <c r="O12" s="116">
        <v>-4.5999999999999999E-2</v>
      </c>
      <c r="P12" s="116">
        <v>-0.04</v>
      </c>
    </row>
    <row r="13" spans="1:16" ht="15.75" customHeight="1">
      <c r="A13" s="71" t="s">
        <v>74</v>
      </c>
      <c r="B13" s="51">
        <f>'NWC Build'!E20</f>
        <v>394.54300000000109</v>
      </c>
      <c r="C13" s="51">
        <f>'NWC Build'!F20</f>
        <v>-173.14099999999985</v>
      </c>
      <c r="D13" s="51">
        <f>'NWC Build'!G20</f>
        <v>-20.342999999999783</v>
      </c>
      <c r="E13" s="51">
        <f>'NWC Build'!H20</f>
        <v>1311.6649999999995</v>
      </c>
      <c r="F13" s="51">
        <f>'NWC Build'!I20</f>
        <v>1516.3849999999986</v>
      </c>
      <c r="G13" s="51">
        <f>'NWC Build'!J20</f>
        <v>262.65366282635392</v>
      </c>
      <c r="H13" s="51">
        <f>'NWC Build'!K20</f>
        <v>-164.98007704157303</v>
      </c>
      <c r="I13" s="51">
        <f>'NWC Build'!L20</f>
        <v>160.19779510078538</v>
      </c>
      <c r="J13" s="51">
        <f>'NWC Build'!M20</f>
        <v>408.63115575670815</v>
      </c>
      <c r="K13" s="51">
        <f>'NWC Build'!N20</f>
        <v>388.66220780693516</v>
      </c>
      <c r="L13" s="51">
        <f>'NWC Build'!O20</f>
        <v>-89.665579814681408</v>
      </c>
      <c r="M13" s="51">
        <f>'NWC Build'!P20</f>
        <v>4.9299548777429436</v>
      </c>
      <c r="N13" s="51">
        <f>'NWC Build'!Q20</f>
        <v>228.47029523242105</v>
      </c>
      <c r="O13" s="51">
        <f>'NWC Build'!R20</f>
        <v>58.561061251590274</v>
      </c>
      <c r="P13" s="51">
        <f>'NWC Build'!S20</f>
        <v>250.50904014342456</v>
      </c>
    </row>
    <row r="14" spans="1:16" ht="15.75" customHeight="1">
      <c r="A14" s="81" t="s">
        <v>70</v>
      </c>
      <c r="B14" s="82">
        <f t="shared" ref="B14:P14" si="11">B13/B3</f>
        <v>1.4215716653455397E-2</v>
      </c>
      <c r="C14" s="82">
        <f t="shared" si="11"/>
        <v>-5.1305901596595772E-3</v>
      </c>
      <c r="D14" s="82">
        <f t="shared" si="11"/>
        <v>-5.9446996528385939E-4</v>
      </c>
      <c r="E14" s="82">
        <f t="shared" si="11"/>
        <v>3.4658963294922157E-2</v>
      </c>
      <c r="F14" s="83">
        <f t="shared" si="11"/>
        <v>3.9191581635290317E-2</v>
      </c>
      <c r="G14" s="118">
        <f t="shared" si="11"/>
        <v>6.1422941176801707E-3</v>
      </c>
      <c r="H14" s="111">
        <f t="shared" si="11"/>
        <v>-3.5955774166482844E-3</v>
      </c>
      <c r="I14" s="111">
        <f t="shared" si="11"/>
        <v>3.2449680898833208E-3</v>
      </c>
      <c r="J14" s="111">
        <f t="shared" si="11"/>
        <v>7.7499081613864622E-3</v>
      </c>
      <c r="K14" s="111">
        <f t="shared" si="11"/>
        <v>6.8461616885958625E-3</v>
      </c>
      <c r="L14" s="111">
        <f t="shared" si="11"/>
        <v>-1.4980724588408137E-3</v>
      </c>
      <c r="M14" s="111">
        <f t="shared" si="11"/>
        <v>7.7564297394545979E-5</v>
      </c>
      <c r="N14" s="111">
        <f t="shared" si="11"/>
        <v>3.4360860266707664E-3</v>
      </c>
      <c r="O14" s="111">
        <f t="shared" si="11"/>
        <v>8.3623442103265095E-4</v>
      </c>
      <c r="P14" s="111">
        <f t="shared" si="11"/>
        <v>3.434856087247281E-3</v>
      </c>
    </row>
    <row r="15" spans="1:16" ht="15.75" customHeight="1">
      <c r="A15" s="71" t="s">
        <v>17</v>
      </c>
      <c r="B15" s="96">
        <v>0</v>
      </c>
      <c r="C15" s="91">
        <f t="shared" ref="C15:P15" si="12">C13-B13</f>
        <v>-567.68400000000088</v>
      </c>
      <c r="D15" s="91">
        <f t="shared" si="12"/>
        <v>152.79800000000006</v>
      </c>
      <c r="E15" s="91">
        <f t="shared" si="12"/>
        <v>1332.0079999999994</v>
      </c>
      <c r="F15" s="92">
        <f t="shared" si="12"/>
        <v>204.71999999999912</v>
      </c>
      <c r="G15" s="119">
        <f t="shared" si="12"/>
        <v>-1253.7313371736448</v>
      </c>
      <c r="H15" s="120">
        <f t="shared" si="12"/>
        <v>-427.63373986792692</v>
      </c>
      <c r="I15" s="120">
        <f t="shared" si="12"/>
        <v>325.17787214235841</v>
      </c>
      <c r="J15" s="120">
        <f t="shared" si="12"/>
        <v>248.43336065592277</v>
      </c>
      <c r="K15" s="120">
        <f t="shared" si="12"/>
        <v>-19.968947949772996</v>
      </c>
      <c r="L15" s="120">
        <f t="shared" si="12"/>
        <v>-478.32778762161655</v>
      </c>
      <c r="M15" s="120">
        <f t="shared" si="12"/>
        <v>94.595534692424351</v>
      </c>
      <c r="N15" s="120">
        <f t="shared" si="12"/>
        <v>223.54034035467811</v>
      </c>
      <c r="O15" s="120">
        <f t="shared" si="12"/>
        <v>-169.90923398083078</v>
      </c>
      <c r="P15" s="120">
        <f t="shared" si="12"/>
        <v>191.94797889183428</v>
      </c>
    </row>
    <row r="16" spans="1:16" ht="15.75" customHeight="1">
      <c r="A16" s="71" t="s">
        <v>75</v>
      </c>
      <c r="B16" s="96">
        <v>0</v>
      </c>
      <c r="C16" s="51">
        <f t="shared" ref="C16:P16" si="13">C7+C9+C11-C15</f>
        <v>3508.8062500000015</v>
      </c>
      <c r="D16" s="51">
        <f t="shared" si="13"/>
        <v>2493.9971899999996</v>
      </c>
      <c r="E16" s="51">
        <f t="shared" si="13"/>
        <v>1010.4927200000011</v>
      </c>
      <c r="F16" s="76">
        <f t="shared" si="13"/>
        <v>1284.777900000001</v>
      </c>
      <c r="G16" s="121">
        <f t="shared" si="13"/>
        <v>2809.323221684549</v>
      </c>
      <c r="H16" s="51">
        <f t="shared" si="13"/>
        <v>2096.8233530661273</v>
      </c>
      <c r="I16" s="51">
        <f t="shared" si="13"/>
        <v>1733.0307112898295</v>
      </c>
      <c r="J16" s="51">
        <f t="shared" si="13"/>
        <v>1920.5729920377491</v>
      </c>
      <c r="K16" s="51">
        <f t="shared" si="13"/>
        <v>3265.8150802512446</v>
      </c>
      <c r="L16" s="51">
        <f t="shared" si="13"/>
        <v>4726.2356645662567</v>
      </c>
      <c r="M16" s="51">
        <f t="shared" si="13"/>
        <v>4479.8643703870757</v>
      </c>
      <c r="N16" s="51">
        <f t="shared" si="13"/>
        <v>4491.5003919691617</v>
      </c>
      <c r="O16" s="51">
        <f t="shared" si="13"/>
        <v>5175.6164292126705</v>
      </c>
      <c r="P16" s="51">
        <f t="shared" si="13"/>
        <v>5239.986528977126</v>
      </c>
    </row>
    <row r="17" spans="1:16" ht="14">
      <c r="A17" s="71" t="s">
        <v>76</v>
      </c>
      <c r="B17" s="96">
        <v>0</v>
      </c>
      <c r="C17" s="96">
        <v>0</v>
      </c>
      <c r="D17" s="96">
        <v>0</v>
      </c>
      <c r="E17" s="96">
        <v>0</v>
      </c>
      <c r="F17" s="122">
        <v>0</v>
      </c>
      <c r="G17" s="123">
        <f t="shared" ref="G17:P17" si="14">G16/((1+$B$37)^(G2-$F$2))</f>
        <v>2611.7943623905167</v>
      </c>
      <c r="H17" s="124">
        <f t="shared" si="14"/>
        <v>1812.3262753930812</v>
      </c>
      <c r="I17" s="124">
        <f t="shared" si="14"/>
        <v>1392.573325677515</v>
      </c>
      <c r="J17" s="124">
        <f t="shared" si="14"/>
        <v>1434.7621181845643</v>
      </c>
      <c r="K17" s="124">
        <f t="shared" si="14"/>
        <v>2268.1822389963954</v>
      </c>
      <c r="L17" s="124">
        <f t="shared" si="14"/>
        <v>3051.6800560600491</v>
      </c>
      <c r="M17" s="124">
        <f t="shared" si="14"/>
        <v>2689.2164745286527</v>
      </c>
      <c r="N17" s="124">
        <f t="shared" si="14"/>
        <v>2506.6264055668976</v>
      </c>
      <c r="O17" s="124">
        <f t="shared" si="14"/>
        <v>2685.3291253922539</v>
      </c>
      <c r="P17" s="124">
        <f t="shared" si="14"/>
        <v>2527.568189990041</v>
      </c>
    </row>
    <row r="18" spans="1:16" ht="15.75" customHeight="1">
      <c r="A18" s="2"/>
      <c r="B18" s="2"/>
      <c r="C18" s="2"/>
      <c r="D18" s="2"/>
      <c r="E18" s="2"/>
      <c r="F18" s="2"/>
    </row>
    <row r="19" spans="1:16" ht="15">
      <c r="A19" s="209" t="s">
        <v>77</v>
      </c>
      <c r="B19" s="206"/>
      <c r="C19" s="2"/>
      <c r="D19" s="209" t="s">
        <v>78</v>
      </c>
      <c r="E19" s="206"/>
      <c r="F19" s="206"/>
      <c r="H19" s="209" t="s">
        <v>79</v>
      </c>
      <c r="I19" s="206"/>
      <c r="J19" s="206"/>
      <c r="N19" s="99"/>
    </row>
    <row r="20" spans="1:16" ht="14">
      <c r="A20" s="100" t="s">
        <v>80</v>
      </c>
      <c r="B20" s="101">
        <v>4.6699999999999998E-2</v>
      </c>
      <c r="C20" s="2"/>
      <c r="D20" s="100" t="s">
        <v>81</v>
      </c>
      <c r="E20" s="2"/>
      <c r="F20" s="101">
        <v>0.02</v>
      </c>
      <c r="H20" s="100" t="s">
        <v>82</v>
      </c>
      <c r="I20" s="2"/>
      <c r="J20" s="102">
        <f>Comps!K12</f>
        <v>13.092304909947179</v>
      </c>
      <c r="N20" s="60" t="s">
        <v>83</v>
      </c>
    </row>
    <row r="21" spans="1:16" ht="15.75" customHeight="1">
      <c r="A21" s="100" t="s">
        <v>84</v>
      </c>
      <c r="B21" s="103">
        <v>1.1299999999999999</v>
      </c>
      <c r="C21" s="2"/>
      <c r="D21" s="100" t="s">
        <v>85</v>
      </c>
      <c r="E21" s="2"/>
      <c r="F21" s="104">
        <f>P16*((1+F20)/(B37-F20))</f>
        <v>96078.16829881836</v>
      </c>
      <c r="H21" s="100" t="s">
        <v>85</v>
      </c>
      <c r="I21" s="2"/>
      <c r="J21" s="104">
        <f>N21*J20</f>
        <v>52516.24403240651</v>
      </c>
      <c r="N21" s="95">
        <f>P5-P9</f>
        <v>4011.2298326100004</v>
      </c>
    </row>
    <row r="22" spans="1:16" ht="15.75" customHeight="1">
      <c r="A22" s="100" t="s">
        <v>86</v>
      </c>
      <c r="B22" s="105">
        <v>1.32</v>
      </c>
      <c r="C22" s="2"/>
      <c r="D22" s="100" t="s">
        <v>87</v>
      </c>
      <c r="E22" s="2"/>
      <c r="F22" s="104">
        <f>F21/((1+B37)^(K2-F2))</f>
        <v>66728.455082619417</v>
      </c>
      <c r="H22" s="100" t="s">
        <v>87</v>
      </c>
      <c r="I22" s="2"/>
      <c r="J22" s="104">
        <f>J21/((1+B37)^(P2-F2))</f>
        <v>25331.818534269449</v>
      </c>
    </row>
    <row r="23" spans="1:16" ht="15.75" customHeight="1">
      <c r="A23" s="100" t="s">
        <v>88</v>
      </c>
      <c r="B23" s="101">
        <v>4.5699999999999998E-2</v>
      </c>
      <c r="C23" s="2"/>
      <c r="D23" s="100" t="s">
        <v>89</v>
      </c>
      <c r="E23" s="2"/>
      <c r="F23" s="104">
        <f>SUM(G17:P17)</f>
        <v>22980.058572179969</v>
      </c>
      <c r="H23" s="100" t="str">
        <f t="shared" ref="H23:H26" si="15">D23</f>
        <v>Sum of Near Term Cash Flows</v>
      </c>
      <c r="I23" s="2"/>
      <c r="J23" s="104">
        <f>SUM(G17:P17)</f>
        <v>22980.058572179969</v>
      </c>
    </row>
    <row r="24" spans="1:16" ht="15.75" customHeight="1">
      <c r="A24" s="2"/>
      <c r="B24" s="2"/>
      <c r="C24" s="2"/>
      <c r="D24" s="100" t="s">
        <v>90</v>
      </c>
      <c r="E24" s="2"/>
      <c r="F24" s="104">
        <f>F23+F22</f>
        <v>89708.51365479939</v>
      </c>
      <c r="H24" s="100" t="str">
        <f t="shared" si="15"/>
        <v>Implied Enterprise Value</v>
      </c>
      <c r="I24" s="2"/>
      <c r="J24" s="104">
        <f>J23+J22</f>
        <v>48311.877106449421</v>
      </c>
    </row>
    <row r="25" spans="1:16" ht="15.75" customHeight="1">
      <c r="A25" s="100" t="s">
        <v>91</v>
      </c>
      <c r="B25" s="101">
        <f>0.216</f>
        <v>0.216</v>
      </c>
      <c r="C25" s="2"/>
      <c r="D25" s="100" t="s">
        <v>92</v>
      </c>
      <c r="E25" s="2"/>
      <c r="F25" s="104">
        <f>F24-$B33</f>
        <v>86084.813654799393</v>
      </c>
      <c r="H25" s="100" t="str">
        <f t="shared" si="15"/>
        <v>Implied Equity Value</v>
      </c>
      <c r="I25" s="2"/>
      <c r="J25" s="104">
        <f>J24-$B33</f>
        <v>44688.177106449424</v>
      </c>
    </row>
    <row r="26" spans="1:16" ht="15.75" customHeight="1">
      <c r="A26" s="100" t="s">
        <v>93</v>
      </c>
      <c r="B26" s="101">
        <f>B20+B22*(B23)</f>
        <v>0.10702400000000001</v>
      </c>
      <c r="C26" s="2"/>
      <c r="D26" s="100" t="s">
        <v>94</v>
      </c>
      <c r="E26" s="2"/>
      <c r="F26" s="105">
        <f>F25/$B29</f>
        <v>417.27975596121854</v>
      </c>
      <c r="H26" s="100" t="str">
        <f t="shared" si="15"/>
        <v>Implied Share Price</v>
      </c>
      <c r="I26" s="2"/>
      <c r="J26" s="105">
        <f>J25/$B29</f>
        <v>216.61743628913922</v>
      </c>
    </row>
    <row r="27" spans="1:16" ht="15.75" customHeight="1">
      <c r="A27" s="100" t="s">
        <v>95</v>
      </c>
      <c r="B27" s="101">
        <f>5.8%*(1-B25)</f>
        <v>4.5471999999999999E-2</v>
      </c>
      <c r="C27" s="2"/>
      <c r="D27" s="100" t="s">
        <v>96</v>
      </c>
      <c r="E27" s="2"/>
      <c r="F27" s="101">
        <f>(F26-$B28)/$B28</f>
        <v>1.7031143095239913</v>
      </c>
      <c r="H27" s="100" t="s">
        <v>96</v>
      </c>
      <c r="I27" s="2"/>
      <c r="J27" s="101">
        <f>(J26-$B28)/$B28</f>
        <v>0.40323531961611203</v>
      </c>
    </row>
    <row r="28" spans="1:16" ht="15.75" customHeight="1">
      <c r="A28" s="100" t="s">
        <v>97</v>
      </c>
      <c r="B28" s="103">
        <v>154.37</v>
      </c>
      <c r="C28" s="2"/>
      <c r="D28" s="2"/>
      <c r="E28" s="2"/>
      <c r="F28" s="2"/>
    </row>
    <row r="29" spans="1:16" ht="15.75" customHeight="1">
      <c r="A29" s="100" t="s">
        <v>98</v>
      </c>
      <c r="B29" s="104">
        <v>206.3</v>
      </c>
      <c r="C29" s="2"/>
      <c r="D29" s="2"/>
      <c r="E29" s="2"/>
      <c r="F29" s="2"/>
    </row>
    <row r="30" spans="1:16" ht="15.75" customHeight="1">
      <c r="A30" s="100" t="s">
        <v>99</v>
      </c>
      <c r="B30" s="104">
        <v>3976.7</v>
      </c>
      <c r="C30" s="2"/>
      <c r="D30" s="2"/>
      <c r="E30" s="2"/>
      <c r="F30" s="2"/>
    </row>
    <row r="31" spans="1:16" ht="15.75" customHeight="1">
      <c r="A31" s="2"/>
      <c r="B31" s="2"/>
      <c r="C31" s="2"/>
      <c r="D31" s="2"/>
      <c r="E31" s="2"/>
      <c r="F31" s="2"/>
    </row>
    <row r="32" spans="1:16" ht="15.75" customHeight="1">
      <c r="A32" s="100" t="s">
        <v>100</v>
      </c>
      <c r="B32" s="104">
        <v>4139.8</v>
      </c>
      <c r="C32" s="79"/>
      <c r="D32" s="2"/>
      <c r="E32" s="2"/>
      <c r="F32" s="2"/>
    </row>
    <row r="33" spans="1:9" ht="15.75" customHeight="1">
      <c r="A33" s="100" t="s">
        <v>101</v>
      </c>
      <c r="B33" s="104">
        <v>3623.7</v>
      </c>
      <c r="C33" s="2"/>
      <c r="D33" s="2"/>
      <c r="E33" s="2"/>
      <c r="F33" s="2"/>
    </row>
    <row r="34" spans="1:9" ht="15.75" customHeight="1">
      <c r="A34" s="100" t="s">
        <v>99</v>
      </c>
      <c r="B34" s="104">
        <f>B30</f>
        <v>3976.7</v>
      </c>
      <c r="C34" s="2"/>
      <c r="D34" s="2"/>
      <c r="E34" s="2"/>
      <c r="F34" s="2"/>
    </row>
    <row r="35" spans="1:9" ht="15.75" customHeight="1">
      <c r="A35" s="100" t="s">
        <v>102</v>
      </c>
      <c r="B35" s="101">
        <f>B34/(B32+B34)</f>
        <v>0.48995256576110391</v>
      </c>
      <c r="C35" s="2"/>
      <c r="D35" s="2"/>
      <c r="E35" s="2"/>
      <c r="F35" s="2"/>
      <c r="I35" s="31" t="s">
        <v>136</v>
      </c>
    </row>
    <row r="36" spans="1:9" ht="15.75" customHeight="1">
      <c r="A36" s="100" t="s">
        <v>103</v>
      </c>
      <c r="B36" s="101">
        <f>1-B35</f>
        <v>0.51004743423889609</v>
      </c>
      <c r="C36" s="2"/>
      <c r="D36" s="2"/>
      <c r="E36" s="2"/>
      <c r="F36" s="2"/>
    </row>
    <row r="37" spans="1:9" ht="15.75" customHeight="1">
      <c r="A37" s="8" t="s">
        <v>104</v>
      </c>
      <c r="B37" s="107">
        <f>B35*B26+B27*B36</f>
        <v>7.5629560327727469E-2</v>
      </c>
      <c r="C37" s="2"/>
      <c r="D37" s="2"/>
      <c r="E37" s="2"/>
      <c r="F37" s="2"/>
    </row>
  </sheetData>
  <mergeCells count="5">
    <mergeCell ref="B1:F1"/>
    <mergeCell ref="G1:K1"/>
    <mergeCell ref="A19:B19"/>
    <mergeCell ref="D19:F19"/>
    <mergeCell ref="H19:J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31"/>
  <sheetViews>
    <sheetView showGridLines="0" workbookViewId="0"/>
  </sheetViews>
  <sheetFormatPr baseColWidth="10" defaultColWidth="12.6640625" defaultRowHeight="15.75" customHeight="1"/>
  <cols>
    <col min="1" max="2" width="11.33203125" customWidth="1"/>
    <col min="3" max="3" width="21" customWidth="1"/>
    <col min="4" max="4" width="11.1640625" customWidth="1"/>
    <col min="5" max="5" width="10.6640625" customWidth="1"/>
    <col min="6" max="6" width="9.1640625" customWidth="1"/>
    <col min="7" max="7" width="8.1640625" customWidth="1"/>
    <col min="8" max="8" width="7.5" customWidth="1"/>
    <col min="9" max="9" width="9.6640625" customWidth="1"/>
    <col min="10" max="10" width="10.6640625" customWidth="1"/>
    <col min="11" max="11" width="11.5" customWidth="1"/>
  </cols>
  <sheetData>
    <row r="1" spans="1:26" ht="52.5" customHeight="1">
      <c r="A1" s="126"/>
      <c r="B1" s="127"/>
      <c r="C1" s="128"/>
      <c r="D1" s="129"/>
      <c r="E1" s="129"/>
      <c r="F1" s="129"/>
      <c r="G1" s="129"/>
      <c r="H1" s="129"/>
    </row>
    <row r="2" spans="1:26" ht="52.5" customHeight="1">
      <c r="A2" s="130"/>
      <c r="B2" s="128" t="s">
        <v>137</v>
      </c>
      <c r="C2" s="128" t="s">
        <v>138</v>
      </c>
      <c r="D2" s="129" t="s">
        <v>139</v>
      </c>
      <c r="E2" s="129" t="s">
        <v>140</v>
      </c>
      <c r="F2" s="129" t="s">
        <v>141</v>
      </c>
      <c r="G2" s="129" t="s">
        <v>142</v>
      </c>
      <c r="H2" s="129" t="s">
        <v>143</v>
      </c>
      <c r="I2" s="129" t="s">
        <v>144</v>
      </c>
      <c r="J2" s="129" t="s">
        <v>145</v>
      </c>
      <c r="K2" s="129" t="s">
        <v>146</v>
      </c>
      <c r="P2" s="2"/>
      <c r="Q2" s="2"/>
      <c r="R2" s="131" t="s">
        <v>147</v>
      </c>
      <c r="S2" s="2"/>
      <c r="T2" s="2"/>
      <c r="U2" s="2"/>
      <c r="V2" s="2"/>
      <c r="W2" s="2"/>
      <c r="X2" s="6"/>
      <c r="Y2" s="6"/>
      <c r="Z2" s="6"/>
    </row>
    <row r="3" spans="1:26" ht="16">
      <c r="A3" s="132"/>
      <c r="B3" s="133" t="s">
        <v>148</v>
      </c>
      <c r="C3" s="133" t="s">
        <v>149</v>
      </c>
      <c r="D3" s="134">
        <v>32463.027078479998</v>
      </c>
      <c r="E3" s="135">
        <v>20.38</v>
      </c>
      <c r="F3" s="136">
        <v>4.3</v>
      </c>
      <c r="G3" s="137">
        <v>7.55</v>
      </c>
      <c r="H3" s="136">
        <v>2.5</v>
      </c>
      <c r="I3" s="133">
        <v>50</v>
      </c>
      <c r="J3" s="133">
        <v>3.2949999999999999</v>
      </c>
      <c r="K3" s="138">
        <f>I3/J3</f>
        <v>15.174506828528074</v>
      </c>
      <c r="L3" s="137"/>
      <c r="M3" s="136"/>
      <c r="N3" s="137"/>
      <c r="O3" s="136"/>
      <c r="P3" s="136"/>
      <c r="Q3" s="2"/>
      <c r="R3" s="139" t="s">
        <v>150</v>
      </c>
      <c r="S3" s="2"/>
      <c r="T3" s="2"/>
      <c r="U3" s="2"/>
      <c r="V3" s="2"/>
      <c r="W3" s="2"/>
      <c r="X3" s="6"/>
      <c r="Y3" s="6"/>
      <c r="Z3" s="6"/>
    </row>
    <row r="4" spans="1:26" ht="16.5" customHeight="1">
      <c r="A4" s="132"/>
      <c r="B4" s="133" t="s">
        <v>151</v>
      </c>
      <c r="C4" s="133" t="s">
        <v>152</v>
      </c>
      <c r="D4" s="134">
        <v>27289.29402342</v>
      </c>
      <c r="E4" s="135">
        <v>18.079999999999998</v>
      </c>
      <c r="F4" s="136">
        <v>-3.3</v>
      </c>
      <c r="G4" s="137">
        <v>5.89</v>
      </c>
      <c r="H4" s="136">
        <v>5</v>
      </c>
      <c r="I4" s="133">
        <v>37</v>
      </c>
      <c r="J4" s="133">
        <v>-40900</v>
      </c>
      <c r="K4" s="138" t="s">
        <v>18</v>
      </c>
      <c r="P4" s="2"/>
      <c r="Q4" s="2"/>
      <c r="R4" s="2"/>
      <c r="S4" s="140" t="s">
        <v>153</v>
      </c>
      <c r="T4" s="140" t="s">
        <v>154</v>
      </c>
      <c r="U4" s="140" t="s">
        <v>155</v>
      </c>
      <c r="V4" s="212" t="s">
        <v>156</v>
      </c>
      <c r="W4" s="213"/>
      <c r="X4" s="6"/>
      <c r="Y4" s="214" t="s">
        <v>157</v>
      </c>
      <c r="Z4" s="213"/>
    </row>
    <row r="5" spans="1:26" ht="16">
      <c r="A5" s="132"/>
      <c r="B5" s="133" t="s">
        <v>158</v>
      </c>
      <c r="C5" s="133" t="s">
        <v>159</v>
      </c>
      <c r="D5" s="134">
        <v>76695.977020720005</v>
      </c>
      <c r="E5" s="135">
        <v>17.670000000000002</v>
      </c>
      <c r="F5" s="136">
        <v>3.9</v>
      </c>
      <c r="G5" s="137">
        <v>8.94</v>
      </c>
      <c r="H5" s="136">
        <v>4.5</v>
      </c>
      <c r="I5" s="133">
        <v>92.54</v>
      </c>
      <c r="J5" s="133">
        <v>8.5079999999999991</v>
      </c>
      <c r="K5" s="138">
        <f t="shared" ref="K5:K11" si="0">I5/J5</f>
        <v>10.876821814762579</v>
      </c>
      <c r="P5" s="6"/>
      <c r="Q5" s="141" t="s">
        <v>160</v>
      </c>
      <c r="R5" s="142"/>
      <c r="S5" s="141" t="s">
        <v>161</v>
      </c>
      <c r="T5" s="141" t="s">
        <v>162</v>
      </c>
      <c r="U5" s="143" t="s">
        <v>162</v>
      </c>
      <c r="V5" s="144" t="s">
        <v>163</v>
      </c>
      <c r="W5" s="144" t="s">
        <v>164</v>
      </c>
      <c r="X5" s="145"/>
      <c r="Y5" s="144" t="s">
        <v>163</v>
      </c>
      <c r="Z5" s="144" t="s">
        <v>164</v>
      </c>
    </row>
    <row r="6" spans="1:26" ht="16">
      <c r="A6" s="132"/>
      <c r="B6" s="133" t="s">
        <v>165</v>
      </c>
      <c r="C6" s="133" t="s">
        <v>166</v>
      </c>
      <c r="D6" s="134">
        <v>39837.168988800004</v>
      </c>
      <c r="E6" s="135">
        <v>12.48</v>
      </c>
      <c r="F6" s="136">
        <v>1.4</v>
      </c>
      <c r="G6" s="137">
        <v>4.76</v>
      </c>
      <c r="H6" s="136">
        <v>18.5</v>
      </c>
      <c r="I6" s="133">
        <v>56</v>
      </c>
      <c r="J6" s="133">
        <v>7</v>
      </c>
      <c r="K6" s="138">
        <f t="shared" si="0"/>
        <v>8</v>
      </c>
      <c r="P6" s="2"/>
      <c r="Q6" s="2"/>
      <c r="R6" s="146" t="s">
        <v>167</v>
      </c>
      <c r="S6" s="147" t="e">
        <f>'[1]DCF Base'!T24</f>
        <v>#REF!</v>
      </c>
      <c r="T6" s="148" t="e">
        <f>'[1]DCF Base'!T26</f>
        <v>#REF!</v>
      </c>
      <c r="U6" s="148" t="e">
        <f>T6+'[1]DCF Base'!T29</f>
        <v>#REF!</v>
      </c>
      <c r="V6" s="149">
        <v>2.98</v>
      </c>
      <c r="W6" s="149">
        <v>2.72</v>
      </c>
      <c r="X6" s="150"/>
      <c r="Y6" s="149">
        <v>10.25</v>
      </c>
      <c r="Z6" s="149">
        <v>9.15</v>
      </c>
    </row>
    <row r="7" spans="1:26" ht="16">
      <c r="A7" s="132"/>
      <c r="B7" s="133" t="s">
        <v>168</v>
      </c>
      <c r="C7" s="133" t="s">
        <v>169</v>
      </c>
      <c r="D7" s="134">
        <v>86519.355917280001</v>
      </c>
      <c r="E7" s="135">
        <v>8.27</v>
      </c>
      <c r="F7" s="136">
        <v>2.2999999999999998</v>
      </c>
      <c r="G7" s="137">
        <v>8.74</v>
      </c>
      <c r="H7" s="136">
        <v>4.3</v>
      </c>
      <c r="I7" s="133">
        <v>154.44999999999999</v>
      </c>
      <c r="J7" s="133">
        <v>18.190000000000001</v>
      </c>
      <c r="K7" s="138">
        <f t="shared" si="0"/>
        <v>8.4909290819131371</v>
      </c>
      <c r="P7" s="2"/>
      <c r="Q7" s="146" t="s">
        <v>170</v>
      </c>
      <c r="R7" s="2"/>
      <c r="S7" s="2"/>
      <c r="T7" s="151"/>
      <c r="U7" s="151"/>
      <c r="V7" s="150"/>
      <c r="W7" s="150"/>
      <c r="X7" s="150"/>
      <c r="Y7" s="150"/>
      <c r="Z7" s="150"/>
    </row>
    <row r="8" spans="1:26" ht="16">
      <c r="A8" s="132"/>
      <c r="B8" s="133" t="s">
        <v>171</v>
      </c>
      <c r="C8" s="133" t="s">
        <v>172</v>
      </c>
      <c r="D8" s="134">
        <v>2424.4780854000001</v>
      </c>
      <c r="E8" s="135">
        <v>17.399999999999999</v>
      </c>
      <c r="F8" s="136">
        <v>2.4</v>
      </c>
      <c r="G8" s="137">
        <v>3.66</v>
      </c>
      <c r="H8" s="136">
        <v>13.3</v>
      </c>
      <c r="I8" s="133">
        <v>2.4300000000000002</v>
      </c>
      <c r="J8" s="133">
        <v>0.27300000000000002</v>
      </c>
      <c r="K8" s="138">
        <f t="shared" si="0"/>
        <v>8.9010989010989015</v>
      </c>
      <c r="P8" s="2"/>
      <c r="Q8" s="2"/>
      <c r="R8" s="152" t="s">
        <v>173</v>
      </c>
      <c r="S8" s="153">
        <v>1069.27</v>
      </c>
      <c r="T8" s="154">
        <f>63115837714.45/1000000</f>
        <v>63115.837714449997</v>
      </c>
      <c r="U8" s="154">
        <f>68406830714.45/1000000</f>
        <v>68406.83071445</v>
      </c>
      <c r="V8" s="155">
        <v>4.03</v>
      </c>
      <c r="W8" s="155">
        <v>3.81</v>
      </c>
      <c r="X8" s="156"/>
      <c r="Y8" s="155">
        <v>17.45</v>
      </c>
      <c r="Z8" s="155">
        <v>16.48</v>
      </c>
    </row>
    <row r="9" spans="1:26" ht="16">
      <c r="A9" s="132"/>
      <c r="B9" s="133" t="s">
        <v>174</v>
      </c>
      <c r="C9" s="133" t="s">
        <v>175</v>
      </c>
      <c r="D9" s="134">
        <v>16747.730288549999</v>
      </c>
      <c r="E9" s="135">
        <v>15.34</v>
      </c>
      <c r="F9" s="136">
        <v>8.1</v>
      </c>
      <c r="G9" s="137">
        <v>12.91</v>
      </c>
      <c r="H9" s="136">
        <v>40.1</v>
      </c>
      <c r="I9" s="133">
        <v>19.21</v>
      </c>
      <c r="J9" s="133">
        <v>1.77</v>
      </c>
      <c r="K9" s="138">
        <f t="shared" si="0"/>
        <v>10.853107344632768</v>
      </c>
      <c r="P9" s="2"/>
      <c r="Q9" s="2"/>
      <c r="R9" s="152" t="s">
        <v>176</v>
      </c>
      <c r="S9" s="153">
        <v>2903.51</v>
      </c>
      <c r="T9" s="154">
        <f>50239140275.49/1000000</f>
        <v>50239.140275489997</v>
      </c>
      <c r="U9" s="154">
        <f>58565597275.49/1000000</f>
        <v>58565.597275489999</v>
      </c>
      <c r="V9" s="155">
        <v>3.13</v>
      </c>
      <c r="W9" s="155">
        <v>3.01</v>
      </c>
      <c r="X9" s="156"/>
      <c r="Y9" s="155">
        <v>13.39</v>
      </c>
      <c r="Z9" s="155">
        <v>12.84</v>
      </c>
    </row>
    <row r="10" spans="1:26" ht="18" customHeight="1">
      <c r="A10" s="132"/>
      <c r="B10" s="133" t="s">
        <v>177</v>
      </c>
      <c r="C10" s="133" t="s">
        <v>178</v>
      </c>
      <c r="D10" s="134">
        <v>106975.39365518</v>
      </c>
      <c r="E10" s="135">
        <v>23.11</v>
      </c>
      <c r="F10" s="136">
        <v>8.3000000000000007</v>
      </c>
      <c r="G10" s="137">
        <v>3.86</v>
      </c>
      <c r="H10" s="136">
        <v>9.8000000000000007</v>
      </c>
      <c r="I10" s="133">
        <v>113.92</v>
      </c>
      <c r="J10" s="133">
        <v>6.4</v>
      </c>
      <c r="K10" s="138">
        <f t="shared" si="0"/>
        <v>17.8</v>
      </c>
      <c r="P10" s="2"/>
      <c r="Q10" s="2"/>
      <c r="R10" s="152" t="s">
        <v>179</v>
      </c>
      <c r="S10" s="153">
        <v>70.08</v>
      </c>
      <c r="T10" s="154">
        <f>4177431727.68/1000000</f>
        <v>4177.4317276800002</v>
      </c>
      <c r="U10" s="154">
        <f>5460321727.68/1000000</f>
        <v>5460.3217276800005</v>
      </c>
      <c r="V10" s="155">
        <v>0.48</v>
      </c>
      <c r="W10" s="155">
        <v>0.47</v>
      </c>
      <c r="X10" s="156"/>
      <c r="Y10" s="155">
        <v>8.31</v>
      </c>
      <c r="Z10" s="155">
        <v>7.78</v>
      </c>
    </row>
    <row r="11" spans="1:26" ht="16">
      <c r="A11" s="132"/>
      <c r="B11" s="133" t="s">
        <v>180</v>
      </c>
      <c r="C11" s="133" t="s">
        <v>181</v>
      </c>
      <c r="D11" s="134">
        <v>8698.4284298799994</v>
      </c>
      <c r="E11" s="135">
        <v>26.03</v>
      </c>
      <c r="F11" s="136">
        <v>8.5</v>
      </c>
      <c r="G11" s="137">
        <v>5.41</v>
      </c>
      <c r="H11" s="136">
        <v>14.5</v>
      </c>
      <c r="I11" s="133">
        <v>9.98</v>
      </c>
      <c r="J11" s="133">
        <v>0.40500000000000003</v>
      </c>
      <c r="K11" s="138">
        <f t="shared" si="0"/>
        <v>24.641975308641975</v>
      </c>
      <c r="P11" s="2"/>
      <c r="Q11" s="2"/>
      <c r="R11" s="157" t="s">
        <v>182</v>
      </c>
      <c r="S11" s="153">
        <v>144.75</v>
      </c>
      <c r="T11" s="154">
        <f>20181501252/1000000</f>
        <v>20181.501251999998</v>
      </c>
      <c r="U11" s="158">
        <f>23001660252/1000000</f>
        <v>23001.660252000001</v>
      </c>
      <c r="V11" s="159">
        <v>0.97</v>
      </c>
      <c r="W11" s="159">
        <v>0.93</v>
      </c>
      <c r="X11" s="160"/>
      <c r="Y11" s="159">
        <v>11.16</v>
      </c>
      <c r="Z11" s="159">
        <v>10.39</v>
      </c>
    </row>
    <row r="12" spans="1:26" ht="16">
      <c r="A12" s="161"/>
      <c r="B12" s="162" t="s">
        <v>183</v>
      </c>
      <c r="C12" s="163"/>
      <c r="D12" s="134">
        <f t="shared" ref="D12:I12" si="1">AVERAGE(D3:D11)</f>
        <v>44183.42816530112</v>
      </c>
      <c r="E12" s="138">
        <f t="shared" si="1"/>
        <v>17.64</v>
      </c>
      <c r="F12" s="164">
        <f t="shared" si="1"/>
        <v>3.9888888888888894</v>
      </c>
      <c r="G12" s="165">
        <f t="shared" si="1"/>
        <v>6.8577777777777778</v>
      </c>
      <c r="H12" s="163">
        <f t="shared" si="1"/>
        <v>12.499999999999998</v>
      </c>
      <c r="I12" s="165">
        <f t="shared" si="1"/>
        <v>59.50333333333333</v>
      </c>
      <c r="J12" s="165">
        <f>AVERAGE(J3,J5:J11)</f>
        <v>5.7301250000000001</v>
      </c>
      <c r="K12" s="138">
        <f>AVERAGE(K3:K11)</f>
        <v>13.092304909947179</v>
      </c>
      <c r="P12" s="2"/>
      <c r="Q12" s="2"/>
      <c r="R12" s="166" t="s">
        <v>184</v>
      </c>
      <c r="S12" s="167" t="s">
        <v>185</v>
      </c>
      <c r="T12" s="167" t="s">
        <v>185</v>
      </c>
      <c r="U12" s="167" t="s">
        <v>185</v>
      </c>
      <c r="V12" s="168">
        <f t="shared" ref="V12:W12" si="2">MEDIAN(V8:V11)</f>
        <v>2.0499999999999998</v>
      </c>
      <c r="W12" s="168">
        <f t="shared" si="2"/>
        <v>1.9699999999999998</v>
      </c>
      <c r="X12" s="169"/>
      <c r="Y12" s="168">
        <f t="shared" ref="Y12:Z12" si="3">MEDIAN(Y8:Y11)</f>
        <v>12.275</v>
      </c>
      <c r="Z12" s="168">
        <f t="shared" si="3"/>
        <v>11.615</v>
      </c>
    </row>
    <row r="13" spans="1:26" ht="13">
      <c r="A13" s="70"/>
      <c r="P13" s="2"/>
      <c r="Q13" s="146" t="s">
        <v>186</v>
      </c>
      <c r="R13" s="2"/>
      <c r="S13" s="2"/>
      <c r="T13" s="2"/>
      <c r="U13" s="151"/>
      <c r="V13" s="170"/>
      <c r="W13" s="170"/>
      <c r="X13" s="170"/>
      <c r="Y13" s="170"/>
      <c r="Z13" s="170"/>
    </row>
    <row r="14" spans="1:26" ht="13">
      <c r="P14" s="2"/>
      <c r="Q14" s="2"/>
      <c r="R14" s="152" t="s">
        <v>187</v>
      </c>
      <c r="S14" s="153">
        <v>14.65</v>
      </c>
      <c r="T14" s="154">
        <f>2404060956.6/1000000</f>
        <v>2404.0609565999998</v>
      </c>
      <c r="U14" s="154">
        <f>5171667956.6/1000000</f>
        <v>5171.6679566000003</v>
      </c>
      <c r="V14" s="155">
        <v>2.13</v>
      </c>
      <c r="W14" s="155">
        <v>1.96</v>
      </c>
      <c r="X14" s="170"/>
      <c r="Y14" s="155">
        <v>9.2100000000000009</v>
      </c>
      <c r="Z14" s="155">
        <v>8.0500000000000007</v>
      </c>
    </row>
    <row r="15" spans="1:26" ht="13">
      <c r="P15" s="2"/>
      <c r="Q15" s="2"/>
      <c r="R15" s="157" t="s">
        <v>188</v>
      </c>
      <c r="S15" s="153">
        <v>41.7</v>
      </c>
      <c r="T15" s="154">
        <f>5406370263.9/1000000</f>
        <v>5406.3702638999994</v>
      </c>
      <c r="U15" s="154">
        <f>6446570263.9/1000000</f>
        <v>6446.5702638999992</v>
      </c>
      <c r="V15" s="155">
        <v>3.94</v>
      </c>
      <c r="W15" s="155">
        <v>3.48</v>
      </c>
      <c r="X15" s="171"/>
      <c r="Y15" s="155">
        <v>14.76</v>
      </c>
      <c r="Z15" s="155">
        <v>12.8</v>
      </c>
    </row>
    <row r="16" spans="1:26" ht="13">
      <c r="P16" s="2"/>
      <c r="Q16" s="2"/>
      <c r="R16" s="166" t="s">
        <v>184</v>
      </c>
      <c r="S16" s="167" t="s">
        <v>185</v>
      </c>
      <c r="T16" s="167" t="s">
        <v>185</v>
      </c>
      <c r="U16" s="167" t="s">
        <v>185</v>
      </c>
      <c r="V16" s="168">
        <f t="shared" ref="V16:W16" si="4">MEDIAN(V14:V15)</f>
        <v>3.0350000000000001</v>
      </c>
      <c r="W16" s="168">
        <f t="shared" si="4"/>
        <v>2.7199999999999998</v>
      </c>
      <c r="X16" s="172"/>
      <c r="Y16" s="168">
        <f t="shared" ref="Y16:Z16" si="5">MEDIAN(Y14:Y15)</f>
        <v>11.984999999999999</v>
      </c>
      <c r="Z16" s="168">
        <f t="shared" si="5"/>
        <v>10.425000000000001</v>
      </c>
    </row>
    <row r="17" spans="10:26" ht="13">
      <c r="P17" s="2"/>
      <c r="Q17" s="2"/>
      <c r="R17" s="166" t="s">
        <v>189</v>
      </c>
      <c r="S17" s="167" t="s">
        <v>185</v>
      </c>
      <c r="T17" s="173" t="s">
        <v>185</v>
      </c>
      <c r="U17" s="173" t="s">
        <v>185</v>
      </c>
      <c r="V17" s="174">
        <f t="shared" ref="V17:W17" si="6">MEDIAN(V12,V16)</f>
        <v>2.5425</v>
      </c>
      <c r="W17" s="174">
        <f t="shared" si="6"/>
        <v>2.3449999999999998</v>
      </c>
      <c r="X17" s="175"/>
      <c r="Y17" s="174">
        <f t="shared" ref="Y17:Z17" si="7">MEDIAN(Y12,Y16)</f>
        <v>12.129999999999999</v>
      </c>
      <c r="Z17" s="174">
        <f t="shared" si="7"/>
        <v>11.02</v>
      </c>
    </row>
    <row r="20" spans="10:26" ht="51">
      <c r="J20" s="129" t="s">
        <v>137</v>
      </c>
      <c r="K20" s="129" t="s">
        <v>140</v>
      </c>
      <c r="L20" s="129" t="s">
        <v>190</v>
      </c>
      <c r="M20" s="129"/>
    </row>
    <row r="21" spans="10:26" ht="16">
      <c r="J21" s="133" t="s">
        <v>148</v>
      </c>
      <c r="K21" s="136">
        <v>20.38</v>
      </c>
      <c r="L21" s="136">
        <v>2.5</v>
      </c>
      <c r="M21" s="176"/>
    </row>
    <row r="22" spans="10:26" ht="16">
      <c r="J22" s="133" t="s">
        <v>151</v>
      </c>
      <c r="K22" s="136">
        <v>18.079999999999998</v>
      </c>
      <c r="L22" s="136">
        <v>5</v>
      </c>
      <c r="M22" s="176"/>
    </row>
    <row r="23" spans="10:26" ht="16">
      <c r="J23" s="163" t="s">
        <v>165</v>
      </c>
      <c r="K23" s="177">
        <v>12.48</v>
      </c>
      <c r="L23" s="177">
        <v>18.5</v>
      </c>
      <c r="M23" s="176"/>
    </row>
    <row r="24" spans="10:26" ht="16">
      <c r="J24" s="163"/>
      <c r="K24" s="177"/>
      <c r="L24" s="177"/>
      <c r="M24" s="176"/>
    </row>
    <row r="25" spans="10:26" ht="16">
      <c r="J25" s="163" t="s">
        <v>158</v>
      </c>
      <c r="K25" s="177">
        <v>17.670000000000002</v>
      </c>
      <c r="L25" s="177">
        <v>4.5</v>
      </c>
      <c r="M25" s="178"/>
    </row>
    <row r="26" spans="10:26" ht="16">
      <c r="J26" s="163" t="s">
        <v>171</v>
      </c>
      <c r="K26" s="177">
        <v>17.399999999999999</v>
      </c>
      <c r="L26" s="177">
        <v>13.3</v>
      </c>
      <c r="M26" s="178"/>
    </row>
    <row r="27" spans="10:26" ht="16">
      <c r="J27" s="163"/>
      <c r="K27" s="177"/>
      <c r="L27" s="177"/>
      <c r="M27" s="178"/>
    </row>
    <row r="28" spans="10:26" ht="16">
      <c r="J28" s="163" t="s">
        <v>177</v>
      </c>
      <c r="K28" s="177">
        <v>23.11</v>
      </c>
      <c r="L28" s="177">
        <v>9.8000000000000007</v>
      </c>
      <c r="M28" s="178"/>
    </row>
    <row r="29" spans="10:26" ht="16">
      <c r="J29" s="163" t="s">
        <v>180</v>
      </c>
      <c r="K29" s="177">
        <v>26.03</v>
      </c>
      <c r="L29" s="177">
        <v>14.5</v>
      </c>
      <c r="M29" s="178"/>
    </row>
    <row r="30" spans="10:26" ht="16">
      <c r="J30" s="133"/>
      <c r="K30" s="136"/>
      <c r="L30" s="136"/>
      <c r="M30" s="178"/>
    </row>
    <row r="31" spans="10:26" ht="16">
      <c r="M31" s="176"/>
    </row>
  </sheetData>
  <mergeCells count="2">
    <mergeCell ref="V4:W4"/>
    <mergeCell ref="Y4:Z4"/>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1"/>
  <sheetViews>
    <sheetView workbookViewId="0">
      <selection activeCell="L39" sqref="L39"/>
    </sheetView>
  </sheetViews>
  <sheetFormatPr baseColWidth="10" defaultColWidth="12.6640625" defaultRowHeight="15.75" customHeight="1"/>
  <sheetData>
    <row r="1" spans="1:7" ht="15.75" customHeight="1">
      <c r="A1" s="179" t="s">
        <v>191</v>
      </c>
      <c r="B1" s="180"/>
      <c r="C1" s="180"/>
      <c r="D1" s="180"/>
      <c r="E1" s="180"/>
      <c r="F1" s="180"/>
      <c r="G1" s="180"/>
    </row>
    <row r="2" spans="1:7" ht="15.75" customHeight="1">
      <c r="A2" s="2"/>
      <c r="B2" s="181"/>
      <c r="C2" s="215" t="s">
        <v>145</v>
      </c>
      <c r="D2" s="216"/>
      <c r="E2" s="216"/>
      <c r="F2" s="216"/>
      <c r="G2" s="216"/>
    </row>
    <row r="3" spans="1:7" ht="15.75" customHeight="1">
      <c r="A3" s="182"/>
      <c r="B3" s="2"/>
      <c r="C3" s="183">
        <v>50000</v>
      </c>
      <c r="D3" s="183">
        <f t="shared" ref="D3:G3" si="0">C3+50000</f>
        <v>100000</v>
      </c>
      <c r="E3" s="183">
        <f t="shared" si="0"/>
        <v>150000</v>
      </c>
      <c r="F3" s="183">
        <f t="shared" si="0"/>
        <v>200000</v>
      </c>
      <c r="G3" s="183">
        <f t="shared" si="0"/>
        <v>250000</v>
      </c>
    </row>
    <row r="4" spans="1:7" ht="15.75" customHeight="1">
      <c r="A4" s="217" t="s">
        <v>192</v>
      </c>
      <c r="B4" s="184">
        <v>0.25</v>
      </c>
      <c r="C4" s="185">
        <f t="shared" ref="C4:C11" si="1">$C$3*B4</f>
        <v>12500</v>
      </c>
      <c r="D4" s="186">
        <f t="shared" ref="D4:D11" si="2">$D$3*B4</f>
        <v>25000</v>
      </c>
      <c r="E4" s="187">
        <f t="shared" ref="E4:E11" si="3">$E$3*B4</f>
        <v>37500</v>
      </c>
      <c r="F4" s="188">
        <f t="shared" ref="F4:F11" si="4">$F$3*$B4</f>
        <v>50000</v>
      </c>
      <c r="G4" s="189">
        <f t="shared" ref="G4:G11" si="5">$G$3*$B4</f>
        <v>62500</v>
      </c>
    </row>
    <row r="5" spans="1:7" ht="15.75" customHeight="1">
      <c r="A5" s="211"/>
      <c r="B5" s="184">
        <v>1.25</v>
      </c>
      <c r="C5" s="185">
        <f t="shared" si="1"/>
        <v>62500</v>
      </c>
      <c r="D5" s="186">
        <f t="shared" si="2"/>
        <v>125000</v>
      </c>
      <c r="E5" s="187">
        <f t="shared" si="3"/>
        <v>187500</v>
      </c>
      <c r="F5" s="188">
        <f t="shared" si="4"/>
        <v>250000</v>
      </c>
      <c r="G5" s="189">
        <f t="shared" si="5"/>
        <v>312500</v>
      </c>
    </row>
    <row r="6" spans="1:7" ht="15.75" customHeight="1">
      <c r="A6" s="211"/>
      <c r="B6" s="184">
        <f t="shared" ref="B6:B11" si="6">B5+1</f>
        <v>2.25</v>
      </c>
      <c r="C6" s="185">
        <f t="shared" si="1"/>
        <v>112500</v>
      </c>
      <c r="D6" s="186">
        <f t="shared" si="2"/>
        <v>225000</v>
      </c>
      <c r="E6" s="187">
        <f t="shared" si="3"/>
        <v>337500</v>
      </c>
      <c r="F6" s="188">
        <f t="shared" si="4"/>
        <v>450000</v>
      </c>
      <c r="G6" s="189">
        <f t="shared" si="5"/>
        <v>562500</v>
      </c>
    </row>
    <row r="7" spans="1:7" ht="15.75" customHeight="1">
      <c r="A7" s="211"/>
      <c r="B7" s="184">
        <f t="shared" si="6"/>
        <v>3.25</v>
      </c>
      <c r="C7" s="185">
        <f t="shared" si="1"/>
        <v>162500</v>
      </c>
      <c r="D7" s="186">
        <f t="shared" si="2"/>
        <v>325000</v>
      </c>
      <c r="E7" s="187">
        <f t="shared" si="3"/>
        <v>487500</v>
      </c>
      <c r="F7" s="188">
        <f t="shared" si="4"/>
        <v>650000</v>
      </c>
      <c r="G7" s="189">
        <f t="shared" si="5"/>
        <v>812500</v>
      </c>
    </row>
    <row r="8" spans="1:7" ht="15.75" customHeight="1">
      <c r="A8" s="211"/>
      <c r="B8" s="184">
        <f t="shared" si="6"/>
        <v>4.25</v>
      </c>
      <c r="C8" s="185">
        <f t="shared" si="1"/>
        <v>212500</v>
      </c>
      <c r="D8" s="186">
        <f t="shared" si="2"/>
        <v>425000</v>
      </c>
      <c r="E8" s="187">
        <f t="shared" si="3"/>
        <v>637500</v>
      </c>
      <c r="F8" s="188">
        <f t="shared" si="4"/>
        <v>850000</v>
      </c>
      <c r="G8" s="189">
        <f t="shared" si="5"/>
        <v>1062500</v>
      </c>
    </row>
    <row r="9" spans="1:7" ht="15.75" customHeight="1">
      <c r="A9" s="211"/>
      <c r="B9" s="184">
        <f t="shared" si="6"/>
        <v>5.25</v>
      </c>
      <c r="C9" s="185">
        <f t="shared" si="1"/>
        <v>262500</v>
      </c>
      <c r="D9" s="186">
        <f t="shared" si="2"/>
        <v>525000</v>
      </c>
      <c r="E9" s="187">
        <f t="shared" si="3"/>
        <v>787500</v>
      </c>
      <c r="F9" s="188">
        <f t="shared" si="4"/>
        <v>1050000</v>
      </c>
      <c r="G9" s="189">
        <f t="shared" si="5"/>
        <v>1312500</v>
      </c>
    </row>
    <row r="10" spans="1:7" ht="15.75" customHeight="1">
      <c r="A10" s="211"/>
      <c r="B10" s="184">
        <f t="shared" si="6"/>
        <v>6.25</v>
      </c>
      <c r="C10" s="185">
        <f t="shared" si="1"/>
        <v>312500</v>
      </c>
      <c r="D10" s="186">
        <f t="shared" si="2"/>
        <v>625000</v>
      </c>
      <c r="E10" s="187">
        <f t="shared" si="3"/>
        <v>937500</v>
      </c>
      <c r="F10" s="188">
        <f t="shared" si="4"/>
        <v>1250000</v>
      </c>
      <c r="G10" s="189">
        <f t="shared" si="5"/>
        <v>1562500</v>
      </c>
    </row>
    <row r="11" spans="1:7" ht="15.75" customHeight="1">
      <c r="A11" s="211"/>
      <c r="B11" s="184">
        <f t="shared" si="6"/>
        <v>7.25</v>
      </c>
      <c r="C11" s="185">
        <f t="shared" si="1"/>
        <v>362500</v>
      </c>
      <c r="D11" s="186">
        <f t="shared" si="2"/>
        <v>725000</v>
      </c>
      <c r="E11" s="187">
        <f t="shared" si="3"/>
        <v>1087500</v>
      </c>
      <c r="F11" s="188">
        <f t="shared" si="4"/>
        <v>1450000</v>
      </c>
      <c r="G11" s="189">
        <f t="shared" si="5"/>
        <v>1812500</v>
      </c>
    </row>
  </sheetData>
  <mergeCells count="2">
    <mergeCell ref="C2:G2"/>
    <mergeCell ref="A4:A11"/>
  </mergeCells>
  <conditionalFormatting sqref="C4:G11">
    <cfRule type="colorScale" priority="1">
      <colorScale>
        <cfvo type="min"/>
        <cfvo type="percentile" val="50"/>
        <cfvo type="max"/>
        <color rgb="FFE67C73"/>
        <color rgb="FFFFFFFF"/>
        <color rgb="FF57BB8A"/>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16"/>
  <sheetViews>
    <sheetView workbookViewId="0">
      <selection activeCell="Q48" sqref="Q48"/>
    </sheetView>
  </sheetViews>
  <sheetFormatPr baseColWidth="10" defaultColWidth="12.6640625" defaultRowHeight="15.75" customHeight="1"/>
  <cols>
    <col min="1" max="1" width="25.5" customWidth="1"/>
  </cols>
  <sheetData>
    <row r="1" spans="1:13" ht="15.75" customHeight="1">
      <c r="A1" s="190" t="s">
        <v>193</v>
      </c>
      <c r="B1" s="191"/>
      <c r="C1" s="191"/>
      <c r="D1" s="191"/>
      <c r="E1" s="191"/>
    </row>
    <row r="2" spans="1:13" ht="15.75" customHeight="1">
      <c r="A2" s="192"/>
      <c r="B2" s="193"/>
      <c r="C2" s="194"/>
      <c r="D2" s="193"/>
      <c r="E2" s="194"/>
      <c r="H2" s="195"/>
    </row>
    <row r="3" spans="1:13" ht="15.75" customHeight="1">
      <c r="A3" s="196"/>
      <c r="B3" s="197"/>
      <c r="C3" s="198"/>
      <c r="D3" s="197"/>
      <c r="E3" s="198"/>
    </row>
    <row r="4" spans="1:13" ht="15.75" customHeight="1">
      <c r="A4" s="196"/>
      <c r="B4" s="197"/>
      <c r="C4" s="198"/>
      <c r="D4" s="197"/>
      <c r="E4" s="198"/>
    </row>
    <row r="5" spans="1:13" ht="15.75" customHeight="1">
      <c r="A5" s="196"/>
      <c r="B5" s="197"/>
      <c r="C5" s="198"/>
      <c r="D5" s="197"/>
      <c r="E5" s="198"/>
    </row>
    <row r="6" spans="1:13" ht="15.75" customHeight="1">
      <c r="A6" s="196"/>
      <c r="B6" s="197"/>
      <c r="C6" s="198"/>
      <c r="D6" s="197"/>
      <c r="E6" s="198"/>
    </row>
    <row r="7" spans="1:13" ht="15">
      <c r="A7" s="199"/>
      <c r="B7" s="199"/>
      <c r="C7" s="200" t="s">
        <v>194</v>
      </c>
      <c r="D7" s="199" t="s">
        <v>195</v>
      </c>
      <c r="E7" s="199" t="s">
        <v>196</v>
      </c>
      <c r="I7" s="2"/>
      <c r="J7" s="2"/>
      <c r="K7" s="200" t="s">
        <v>194</v>
      </c>
      <c r="L7" s="199" t="s">
        <v>195</v>
      </c>
      <c r="M7" s="199" t="s">
        <v>196</v>
      </c>
    </row>
    <row r="8" spans="1:13" ht="15">
      <c r="A8" s="199"/>
      <c r="B8" s="201" t="s">
        <v>197</v>
      </c>
      <c r="C8" s="201">
        <v>101.09</v>
      </c>
      <c r="D8" s="201">
        <f t="shared" ref="D8:D12" si="0">E8-C8</f>
        <v>121.9</v>
      </c>
      <c r="E8" s="201">
        <v>222.99</v>
      </c>
      <c r="I8" s="2"/>
      <c r="J8" s="199" t="s">
        <v>198</v>
      </c>
      <c r="K8" s="201"/>
      <c r="L8" s="201">
        <f t="shared" ref="L8:L14" si="1">M8-K8</f>
        <v>0</v>
      </c>
      <c r="M8" s="201"/>
    </row>
    <row r="9" spans="1:13" ht="15">
      <c r="A9" s="199"/>
      <c r="B9" s="201" t="s">
        <v>199</v>
      </c>
      <c r="C9" s="201">
        <v>117</v>
      </c>
      <c r="D9" s="201">
        <f t="shared" si="0"/>
        <v>53</v>
      </c>
      <c r="E9" s="201">
        <v>170</v>
      </c>
      <c r="I9" s="2"/>
      <c r="J9" s="199" t="s">
        <v>200</v>
      </c>
      <c r="K9" s="201"/>
      <c r="L9" s="201">
        <f t="shared" si="1"/>
        <v>0</v>
      </c>
      <c r="M9" s="201"/>
    </row>
    <row r="10" spans="1:13" ht="15">
      <c r="A10" s="199"/>
      <c r="B10" s="201" t="s">
        <v>201</v>
      </c>
      <c r="C10" s="202">
        <f>'DCF (Bear Case)'!F26</f>
        <v>104.12437408982845</v>
      </c>
      <c r="D10" s="202">
        <f t="shared" si="0"/>
        <v>313.15538187139009</v>
      </c>
      <c r="E10" s="202">
        <f>'DCF (Bull Case)'!F26</f>
        <v>417.27975596121854</v>
      </c>
      <c r="I10" s="2"/>
      <c r="J10" s="199" t="s">
        <v>202</v>
      </c>
      <c r="K10" s="203"/>
      <c r="L10" s="201">
        <f t="shared" si="1"/>
        <v>0</v>
      </c>
      <c r="M10" s="203"/>
    </row>
    <row r="11" spans="1:13" ht="15">
      <c r="A11" s="199"/>
      <c r="B11" s="201" t="s">
        <v>203</v>
      </c>
      <c r="C11" s="201">
        <v>175</v>
      </c>
      <c r="D11" s="201">
        <f t="shared" si="0"/>
        <v>50</v>
      </c>
      <c r="E11" s="201">
        <v>225</v>
      </c>
      <c r="I11" s="2"/>
      <c r="J11" s="199" t="s">
        <v>204</v>
      </c>
      <c r="K11" s="203"/>
      <c r="L11" s="201">
        <f t="shared" si="1"/>
        <v>0</v>
      </c>
      <c r="M11" s="203"/>
    </row>
    <row r="12" spans="1:13" ht="15">
      <c r="A12" s="199"/>
      <c r="B12" s="199" t="s">
        <v>205</v>
      </c>
      <c r="C12" s="201">
        <v>130</v>
      </c>
      <c r="D12" s="201">
        <f t="shared" si="0"/>
        <v>20</v>
      </c>
      <c r="E12" s="201">
        <v>150</v>
      </c>
      <c r="I12" s="2"/>
      <c r="J12" s="201" t="s">
        <v>206</v>
      </c>
      <c r="K12" s="202">
        <f>'DCF (Bear Case)'!F26</f>
        <v>104.12437408982845</v>
      </c>
      <c r="L12" s="202">
        <f t="shared" si="1"/>
        <v>313.15538187139009</v>
      </c>
      <c r="M12" s="202">
        <f>'DCF (Bull Case)'!F26</f>
        <v>417.27975596121854</v>
      </c>
    </row>
    <row r="13" spans="1:13" ht="15">
      <c r="A13" s="199"/>
      <c r="B13" s="199"/>
      <c r="C13" s="199"/>
      <c r="D13" s="199"/>
      <c r="E13" s="199"/>
      <c r="I13" s="2"/>
      <c r="J13" s="199" t="s">
        <v>207</v>
      </c>
      <c r="K13" s="201">
        <v>4.5</v>
      </c>
      <c r="L13" s="201">
        <f t="shared" si="1"/>
        <v>5.5</v>
      </c>
      <c r="M13" s="201">
        <v>10</v>
      </c>
    </row>
    <row r="14" spans="1:13" ht="15">
      <c r="I14" s="2"/>
      <c r="J14" s="201" t="s">
        <v>197</v>
      </c>
      <c r="K14" s="204">
        <v>4.8</v>
      </c>
      <c r="L14" s="204">
        <f t="shared" si="1"/>
        <v>5.2700000000000005</v>
      </c>
      <c r="M14" s="204">
        <v>10.07</v>
      </c>
    </row>
    <row r="15" spans="1:13" ht="15">
      <c r="I15" s="2"/>
      <c r="J15" s="201"/>
      <c r="K15" s="204"/>
      <c r="L15" s="204"/>
      <c r="M15" s="204"/>
    </row>
    <row r="16" spans="1:13" ht="15">
      <c r="I16" s="2"/>
      <c r="J16" s="201" t="s">
        <v>208</v>
      </c>
      <c r="K16" s="204">
        <v>6.8</v>
      </c>
      <c r="L16" s="204">
        <f>M16-K16</f>
        <v>4.9999999999999822E-2</v>
      </c>
      <c r="M16" s="204">
        <v>6.85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NWC Build</vt:lpstr>
      <vt:lpstr>Revenue Build (Base Case)</vt:lpstr>
      <vt:lpstr>DCF (Base Case)</vt:lpstr>
      <vt:lpstr>Revenue Build (Bear Case)</vt:lpstr>
      <vt:lpstr>DCF (Bear Case)</vt:lpstr>
      <vt:lpstr>Revenue Build (Bull Case)</vt:lpstr>
      <vt:lpstr>DCF (Bull Case)</vt:lpstr>
      <vt:lpstr>Comps</vt:lpstr>
      <vt:lpstr>Sensitivity</vt:lpstr>
      <vt:lpstr>Football Field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Aadarsh Agarwal</cp:lastModifiedBy>
  <dcterms:modified xsi:type="dcterms:W3CDTF">2024-05-10T23:45:01Z</dcterms:modified>
</cp:coreProperties>
</file>