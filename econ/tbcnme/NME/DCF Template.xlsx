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aadarsh/Library/Mobile Documents/com~apple~CloudDocs/Aadarsh/disЯupt/TBC /NME/"/>
    </mc:Choice>
  </mc:AlternateContent>
  <xr:revisionPtr revIDLastSave="0" documentId="13_ncr:1_{8B22B68E-8A6E-384C-A91E-E4AC23579ECA}" xr6:coauthVersionLast="47" xr6:coauthVersionMax="47" xr10:uidLastSave="{00000000-0000-0000-0000-000000000000}"/>
  <bookViews>
    <workbookView xWindow="11160" yWindow="780" windowWidth="20720" windowHeight="21360" xr2:uid="{00000000-000D-0000-FFFF-FFFF00000000}"/>
  </bookViews>
  <sheets>
    <sheet name="DC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XXhkpT9TUnbYlJMIwxONbbFvQFw=="/>
    </ext>
  </extLst>
</workbook>
</file>

<file path=xl/calcChain.xml><?xml version="1.0" encoding="utf-8"?>
<calcChain xmlns="http://schemas.openxmlformats.org/spreadsheetml/2006/main">
  <c r="B49" i="1" l="1"/>
  <c r="H21" i="1"/>
  <c r="B20" i="1"/>
  <c r="B19" i="1"/>
  <c r="B37" i="1"/>
  <c r="B71" i="1"/>
  <c r="B55" i="1"/>
  <c r="B29" i="1"/>
  <c r="B31" i="1" s="1"/>
  <c r="I17" i="1"/>
  <c r="H17" i="1"/>
  <c r="C15" i="1"/>
  <c r="C20" i="1" s="1"/>
  <c r="B15" i="1"/>
  <c r="G13" i="1"/>
  <c r="G15" i="1" s="1"/>
  <c r="G20" i="1" s="1"/>
  <c r="F13" i="1"/>
  <c r="F15" i="1" s="1"/>
  <c r="F20" i="1" s="1"/>
  <c r="E13" i="1"/>
  <c r="E15" i="1" s="1"/>
  <c r="E20" i="1" s="1"/>
  <c r="D13" i="1"/>
  <c r="D15" i="1" s="1"/>
  <c r="D20" i="1" s="1"/>
  <c r="C13" i="1"/>
  <c r="C19" i="1" s="1"/>
  <c r="B13" i="1"/>
  <c r="G11" i="1"/>
  <c r="F11" i="1"/>
  <c r="E11" i="1"/>
  <c r="D11" i="1"/>
  <c r="C11" i="1"/>
  <c r="I10" i="1"/>
  <c r="J10" i="1" s="1"/>
  <c r="H10" i="1"/>
  <c r="H16" i="1" s="1"/>
  <c r="C6" i="1"/>
  <c r="D6" i="1" s="1"/>
  <c r="E6" i="1" s="1"/>
  <c r="F6" i="1" s="1"/>
  <c r="G6" i="1" s="1"/>
  <c r="H6" i="1" s="1"/>
  <c r="I6" i="1" s="1"/>
  <c r="J6" i="1" s="1"/>
  <c r="K6" i="1" s="1"/>
  <c r="L6" i="1" s="1"/>
  <c r="B32" i="1" l="1"/>
  <c r="B42" i="1" s="1"/>
  <c r="K10" i="1"/>
  <c r="J16" i="1"/>
  <c r="J13" i="1"/>
  <c r="J17" i="1"/>
  <c r="D19" i="1"/>
  <c r="E19" i="1"/>
  <c r="F19" i="1"/>
  <c r="G19" i="1"/>
  <c r="H13" i="1"/>
  <c r="I13" i="1"/>
  <c r="I16" i="1"/>
  <c r="K21" i="1" l="1"/>
  <c r="I21" i="1"/>
  <c r="H23" i="1"/>
  <c r="I23" i="1" s="1"/>
  <c r="J23" i="1" s="1"/>
  <c r="K23" i="1" s="1"/>
  <c r="L23" i="1" s="1"/>
  <c r="J21" i="1"/>
  <c r="L21" i="1"/>
  <c r="K16" i="1"/>
  <c r="K13" i="1"/>
  <c r="K17" i="1"/>
  <c r="L10" i="1"/>
  <c r="J19" i="1"/>
  <c r="J15" i="1"/>
  <c r="J20" i="1" s="1"/>
  <c r="J22" i="1" s="1"/>
  <c r="I19" i="1"/>
  <c r="I15" i="1"/>
  <c r="I20" i="1" s="1"/>
  <c r="I22" i="1" s="1"/>
  <c r="H15" i="1"/>
  <c r="H20" i="1" s="1"/>
  <c r="H22" i="1" s="1"/>
  <c r="H19" i="1"/>
  <c r="K19" i="1" l="1"/>
  <c r="K15" i="1"/>
  <c r="K20" i="1" s="1"/>
  <c r="K22" i="1" s="1"/>
  <c r="L17" i="1"/>
  <c r="L16" i="1"/>
  <c r="L13" i="1"/>
  <c r="L15" i="1" l="1"/>
  <c r="L20" i="1" s="1"/>
  <c r="L19" i="1"/>
  <c r="B66" i="1" l="1"/>
  <c r="B65" i="1"/>
  <c r="L22" i="1"/>
  <c r="B51" i="1" s="1"/>
  <c r="B67" i="1" s="1"/>
  <c r="B50" i="1"/>
  <c r="B52" i="1" s="1"/>
  <c r="B54" i="1" s="1"/>
  <c r="B57" i="1" s="1"/>
  <c r="B58" i="1" s="1"/>
  <c r="B68" i="1" l="1"/>
  <c r="B70" i="1" s="1"/>
  <c r="B73" i="1" s="1"/>
  <c r="B74" i="1" s="1"/>
</calcChain>
</file>

<file path=xl/sharedStrings.xml><?xml version="1.0" encoding="utf-8"?>
<sst xmlns="http://schemas.openxmlformats.org/spreadsheetml/2006/main" count="69" uniqueCount="60">
  <si>
    <t>Note: Cells highlighted blue means you should enter a number in the cell (hard-code), while cells highlighted green require a formula.</t>
  </si>
  <si>
    <t>ValueCo Discounted Cash Flow Model</t>
  </si>
  <si>
    <t>Historical</t>
  </si>
  <si>
    <t>Projected</t>
  </si>
  <si>
    <t>(In millions USD)</t>
  </si>
  <si>
    <t>Free Cash Flow Projections</t>
  </si>
  <si>
    <t>Revenue</t>
  </si>
  <si>
    <t>Revenue Growth %</t>
  </si>
  <si>
    <t>NA</t>
  </si>
  <si>
    <t>Operating Margin</t>
  </si>
  <si>
    <t>Operating Income (EBIT)</t>
  </si>
  <si>
    <t>Effective Tax Rate</t>
  </si>
  <si>
    <t>EBIT * (1 - Tc), i.e. NOPAT</t>
  </si>
  <si>
    <t>Plus: Depreciation &amp; Amortization</t>
  </si>
  <si>
    <t>Less: Capital Expenditures</t>
  </si>
  <si>
    <t>Less: Change in Working Capital</t>
  </si>
  <si>
    <t>EBITDA</t>
  </si>
  <si>
    <t>Unlevered Free Cash Flow</t>
  </si>
  <si>
    <t>Discount Factor</t>
  </si>
  <si>
    <t>Discounted Free Cash Flow</t>
  </si>
  <si>
    <t>Free Cash Flow Projections:</t>
  </si>
  <si>
    <t>WACC Calculations</t>
  </si>
  <si>
    <t>7% revenue growth in 2015, 5% in 2016, and 2.5% thereafter</t>
  </si>
  <si>
    <t>Current Stock Price</t>
  </si>
  <si>
    <t>Operating margin increases to 18% in 2015 and improves by 25 basis points (0.25%) each year through 2019</t>
  </si>
  <si>
    <t>Shares Outstanding</t>
  </si>
  <si>
    <t>Effective tax rate is 32% each year into perpetuity</t>
  </si>
  <si>
    <t>Market Capitalization</t>
  </si>
  <si>
    <t xml:space="preserve">To fund sales growth, ValueCo increases capex in the near term such that capex is 7% of revenues in 2015 and 2016, 6% of revenues in 2017-18, and 5% thereafter </t>
  </si>
  <si>
    <t>Debt</t>
  </si>
  <si>
    <t>2500 is ok too (gross debt)</t>
  </si>
  <si>
    <t>Going forward, depreciation &amp; amortization is 5% of revenues each year</t>
  </si>
  <si>
    <t>E / (E+D)</t>
  </si>
  <si>
    <t>For simplicity, assume no changes in the operating working capital balance</t>
  </si>
  <si>
    <t>D / (E+D)</t>
  </si>
  <si>
    <t>Capital Structure:</t>
  </si>
  <si>
    <t>Risk Free Rate</t>
  </si>
  <si>
    <t>Current share price of $17, with 1000 shares outstanding</t>
  </si>
  <si>
    <t>Beta</t>
  </si>
  <si>
    <t>$200 in notes payable; $2300 in long-term debt; $500 in excess cash</t>
  </si>
  <si>
    <t>Market Risk Premium</t>
  </si>
  <si>
    <t>Use the most recent yield of 10-year Treasury bonds as the risk-free rate (Google this)</t>
  </si>
  <si>
    <t>Cost of Equity</t>
  </si>
  <si>
    <t>Cost of Debt</t>
  </si>
  <si>
    <t>Tax Rate</t>
  </si>
  <si>
    <t>WACC</t>
  </si>
  <si>
    <t>Terminal Cash Flow Calculations</t>
  </si>
  <si>
    <t>Terminal Growth Rate</t>
  </si>
  <si>
    <t>Hint: What range of rates might be reasonable given that revenues grew at 2.5% in 2019?</t>
  </si>
  <si>
    <t>Terminal Value</t>
  </si>
  <si>
    <t>Reminder: CF5 * (1+g) / (WACC - g)</t>
  </si>
  <si>
    <t>Present Value of Terminal Cash Flows</t>
  </si>
  <si>
    <t>Hint: Remember that the terminal value is as of end of 2019.</t>
  </si>
  <si>
    <t>Present Value of Sum of 5 Years Free Cash Flows</t>
  </si>
  <si>
    <t>Implied Enterprise Value of Firm</t>
  </si>
  <si>
    <t>Implied Equity Value</t>
  </si>
  <si>
    <t>Implied Price Per Share</t>
  </si>
  <si>
    <t>Implied Premium (Discount)</t>
  </si>
  <si>
    <t>Exit Multiple Based Calculations</t>
  </si>
  <si>
    <t>EV/EBITDA Exit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</si>
</sst>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0.0%"/>
    <numFmt numFmtId="166" formatCode="&quot;$&quot;#,##0.00"/>
    <numFmt numFmtId="167" formatCode="0.0\x"/>
  </numFmts>
  <fonts count="10" x14ac:knownFonts="1">
    <font>
      <sz val="11"/>
      <color theme="1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Arial"/>
      <family val="2"/>
      <scheme val="minor"/>
    </font>
    <font>
      <sz val="11"/>
      <color rgb="FF548DD4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66"/>
        <bgColor rgb="FFFFFF66"/>
      </patternFill>
    </fill>
    <fill>
      <patternFill patternType="solid">
        <fgColor rgb="FFCCFFCC"/>
        <bgColor rgb="FFCCFFCC"/>
      </patternFill>
    </fill>
    <fill>
      <patternFill patternType="solid">
        <fgColor rgb="FFB9EBFF"/>
        <bgColor rgb="FFB9EB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/>
    <xf numFmtId="0" fontId="5" fillId="0" borderId="0" xfId="0" applyFont="1"/>
    <xf numFmtId="0" fontId="2" fillId="0" borderId="0" xfId="0" applyFont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37" fontId="2" fillId="0" borderId="0" xfId="0" applyNumberFormat="1" applyFont="1"/>
    <xf numFmtId="164" fontId="2" fillId="3" borderId="1" xfId="0" applyNumberFormat="1" applyFont="1" applyFill="1" applyBorder="1"/>
    <xf numFmtId="0" fontId="2" fillId="0" borderId="6" xfId="0" applyFont="1" applyBorder="1"/>
    <xf numFmtId="0" fontId="5" fillId="0" borderId="5" xfId="0" applyFont="1" applyBorder="1"/>
    <xf numFmtId="10" fontId="5" fillId="0" borderId="0" xfId="0" applyNumberFormat="1" applyFont="1" applyAlignment="1">
      <alignment horizontal="right"/>
    </xf>
    <xf numFmtId="10" fontId="5" fillId="0" borderId="0" xfId="0" applyNumberFormat="1" applyFont="1"/>
    <xf numFmtId="10" fontId="5" fillId="4" borderId="1" xfId="0" applyNumberFormat="1" applyFont="1" applyFill="1" applyBorder="1"/>
    <xf numFmtId="165" fontId="5" fillId="0" borderId="0" xfId="0" applyNumberFormat="1" applyFont="1"/>
    <xf numFmtId="165" fontId="5" fillId="4" borderId="1" xfId="0" applyNumberFormat="1" applyFont="1" applyFill="1" applyBorder="1"/>
    <xf numFmtId="37" fontId="2" fillId="3" borderId="1" xfId="0" applyNumberFormat="1" applyFont="1" applyFill="1" applyBorder="1"/>
    <xf numFmtId="164" fontId="2" fillId="0" borderId="0" xfId="0" applyNumberFormat="1" applyFont="1"/>
    <xf numFmtId="0" fontId="6" fillId="0" borderId="0" xfId="0" applyFont="1"/>
    <xf numFmtId="0" fontId="1" fillId="0" borderId="5" xfId="0" applyFont="1" applyBorder="1"/>
    <xf numFmtId="4" fontId="2" fillId="0" borderId="0" xfId="0" applyNumberFormat="1" applyFont="1"/>
    <xf numFmtId="0" fontId="1" fillId="0" borderId="7" xfId="0" applyFont="1" applyBorder="1"/>
    <xf numFmtId="165" fontId="1" fillId="0" borderId="8" xfId="0" applyNumberFormat="1" applyFont="1" applyBorder="1"/>
    <xf numFmtId="164" fontId="2" fillId="0" borderId="8" xfId="0" applyNumberFormat="1" applyFont="1" applyBorder="1"/>
    <xf numFmtId="164" fontId="2" fillId="3" borderId="9" xfId="0" applyNumberFormat="1" applyFont="1" applyFill="1" applyBorder="1"/>
    <xf numFmtId="0" fontId="2" fillId="0" borderId="10" xfId="0" applyFont="1" applyBorder="1"/>
    <xf numFmtId="0" fontId="7" fillId="0" borderId="0" xfId="0" applyFont="1"/>
    <xf numFmtId="0" fontId="2" fillId="0" borderId="2" xfId="0" applyFont="1" applyBorder="1"/>
    <xf numFmtId="166" fontId="2" fillId="0" borderId="6" xfId="0" applyNumberFormat="1" applyFont="1" applyBorder="1"/>
    <xf numFmtId="37" fontId="2" fillId="0" borderId="6" xfId="0" applyNumberFormat="1" applyFont="1" applyBorder="1"/>
    <xf numFmtId="37" fontId="2" fillId="3" borderId="11" xfId="0" applyNumberFormat="1" applyFont="1" applyFill="1" applyBorder="1"/>
    <xf numFmtId="0" fontId="8" fillId="0" borderId="0" xfId="0" applyFont="1"/>
    <xf numFmtId="9" fontId="2" fillId="3" borderId="11" xfId="0" applyNumberFormat="1" applyFont="1" applyFill="1" applyBorder="1"/>
    <xf numFmtId="10" fontId="2" fillId="4" borderId="11" xfId="0" applyNumberFormat="1" applyFont="1" applyFill="1" applyBorder="1"/>
    <xf numFmtId="2" fontId="2" fillId="0" borderId="6" xfId="0" applyNumberFormat="1" applyFont="1" applyBorder="1"/>
    <xf numFmtId="10" fontId="2" fillId="0" borderId="6" xfId="0" applyNumberFormat="1" applyFont="1" applyBorder="1"/>
    <xf numFmtId="10" fontId="2" fillId="3" borderId="11" xfId="0" applyNumberFormat="1" applyFont="1" applyFill="1" applyBorder="1"/>
    <xf numFmtId="10" fontId="1" fillId="3" borderId="11" xfId="0" applyNumberFormat="1" applyFont="1" applyFill="1" applyBorder="1"/>
    <xf numFmtId="0" fontId="2" fillId="0" borderId="7" xfId="0" applyFont="1" applyBorder="1"/>
    <xf numFmtId="1" fontId="2" fillId="0" borderId="6" xfId="0" applyNumberFormat="1" applyFont="1" applyBorder="1"/>
    <xf numFmtId="0" fontId="5" fillId="0" borderId="0" xfId="0" applyFont="1" applyAlignment="1">
      <alignment horizontal="left"/>
    </xf>
    <xf numFmtId="4" fontId="9" fillId="0" borderId="0" xfId="0" applyNumberFormat="1" applyFont="1"/>
    <xf numFmtId="166" fontId="1" fillId="3" borderId="11" xfId="0" applyNumberFormat="1" applyFont="1" applyFill="1" applyBorder="1"/>
    <xf numFmtId="165" fontId="2" fillId="3" borderId="11" xfId="0" applyNumberFormat="1" applyFont="1" applyFill="1" applyBorder="1"/>
    <xf numFmtId="167" fontId="2" fillId="0" borderId="6" xfId="0" applyNumberFormat="1" applyFont="1" applyBorder="1"/>
    <xf numFmtId="0" fontId="4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1</xdr:row>
      <xdr:rowOff>0</xdr:rowOff>
    </xdr:from>
    <xdr:ext cx="2409825" cy="4953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1000"/>
  <sheetViews>
    <sheetView showGridLines="0" tabSelected="1" zoomScale="173" workbookViewId="0">
      <pane xSplit="1" ySplit="6" topLeftCell="B55" activePane="bottomRight" state="frozen"/>
      <selection pane="topRight" activeCell="B1" sqref="B1"/>
      <selection pane="bottomLeft" activeCell="A7" sqref="A7"/>
      <selection pane="bottomRight" activeCell="B50" sqref="B50"/>
    </sheetView>
  </sheetViews>
  <sheetFormatPr baseColWidth="10" defaultColWidth="12.6640625" defaultRowHeight="15" customHeight="1" x14ac:dyDescent="0.15"/>
  <cols>
    <col min="1" max="1" width="29.83203125" customWidth="1"/>
    <col min="2" max="12" width="7.83203125" customWidth="1"/>
    <col min="13" max="13" width="1.5" customWidth="1"/>
    <col min="14" max="14" width="7.6640625" customWidth="1"/>
    <col min="15" max="15" width="12.1640625" customWidth="1"/>
    <col min="16" max="26" width="7.6640625" customWidth="1"/>
  </cols>
  <sheetData>
    <row r="3" spans="1:15" x14ac:dyDescent="0.2"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1:15" ht="24" customHeight="1" x14ac:dyDescent="0.2">
      <c r="A5" s="3" t="s">
        <v>1</v>
      </c>
      <c r="B5" s="50" t="s">
        <v>2</v>
      </c>
      <c r="C5" s="51"/>
      <c r="D5" s="51"/>
      <c r="E5" s="51"/>
      <c r="F5" s="51"/>
      <c r="G5" s="51"/>
      <c r="H5" s="50" t="s">
        <v>3</v>
      </c>
      <c r="I5" s="51"/>
      <c r="J5" s="51"/>
      <c r="K5" s="51"/>
      <c r="L5" s="51"/>
      <c r="M5" s="4"/>
      <c r="O5" s="4"/>
    </row>
    <row r="6" spans="1:15" ht="21" customHeight="1" x14ac:dyDescent="0.2">
      <c r="B6" s="5">
        <v>2009</v>
      </c>
      <c r="C6" s="5">
        <f t="shared" ref="C6:L6" si="0">B6+1</f>
        <v>2010</v>
      </c>
      <c r="D6" s="5">
        <f t="shared" si="0"/>
        <v>2011</v>
      </c>
      <c r="E6" s="5">
        <f t="shared" si="0"/>
        <v>2012</v>
      </c>
      <c r="F6" s="5">
        <f t="shared" si="0"/>
        <v>2013</v>
      </c>
      <c r="G6" s="5">
        <f t="shared" si="0"/>
        <v>2014</v>
      </c>
      <c r="H6" s="5">
        <f t="shared" si="0"/>
        <v>2015</v>
      </c>
      <c r="I6" s="5">
        <f t="shared" si="0"/>
        <v>2016</v>
      </c>
      <c r="J6" s="5">
        <f t="shared" si="0"/>
        <v>2017</v>
      </c>
      <c r="K6" s="5">
        <f t="shared" si="0"/>
        <v>2018</v>
      </c>
      <c r="L6" s="5">
        <f t="shared" si="0"/>
        <v>2019</v>
      </c>
    </row>
    <row r="7" spans="1:15" ht="21" customHeight="1" x14ac:dyDescent="0.2"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5" ht="15" customHeight="1" x14ac:dyDescent="0.2">
      <c r="A8" s="6" t="s">
        <v>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5" hidden="1" x14ac:dyDescent="0.2">
      <c r="A9" s="8" t="s">
        <v>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0"/>
    </row>
    <row r="10" spans="1:15" x14ac:dyDescent="0.2">
      <c r="A10" s="11" t="s">
        <v>6</v>
      </c>
      <c r="B10" s="12">
        <v>8000</v>
      </c>
      <c r="C10" s="12">
        <v>8350</v>
      </c>
      <c r="D10" s="12">
        <v>8800</v>
      </c>
      <c r="E10" s="12">
        <v>9400</v>
      </c>
      <c r="F10" s="12">
        <v>10000</v>
      </c>
      <c r="G10" s="12">
        <v>10950</v>
      </c>
      <c r="H10" s="13">
        <f t="shared" ref="H10:L10" si="1">G10*(1+H11)</f>
        <v>11716.5</v>
      </c>
      <c r="I10" s="13">
        <f t="shared" si="1"/>
        <v>12302.325000000001</v>
      </c>
      <c r="J10" s="13">
        <f t="shared" si="1"/>
        <v>12609.883125</v>
      </c>
      <c r="K10" s="13">
        <f t="shared" si="1"/>
        <v>12925.130203125</v>
      </c>
      <c r="L10" s="13">
        <f t="shared" si="1"/>
        <v>13248.258458203123</v>
      </c>
      <c r="M10" s="14"/>
    </row>
    <row r="11" spans="1:15" x14ac:dyDescent="0.2">
      <c r="A11" s="15" t="s">
        <v>7</v>
      </c>
      <c r="B11" s="16" t="s">
        <v>8</v>
      </c>
      <c r="C11" s="17">
        <f t="shared" ref="C11:G11" si="2">(C10-B10)/B10</f>
        <v>4.3749999999999997E-2</v>
      </c>
      <c r="D11" s="17">
        <f t="shared" si="2"/>
        <v>5.3892215568862277E-2</v>
      </c>
      <c r="E11" s="17">
        <f t="shared" si="2"/>
        <v>6.8181818181818177E-2</v>
      </c>
      <c r="F11" s="17">
        <f t="shared" si="2"/>
        <v>6.3829787234042548E-2</v>
      </c>
      <c r="G11" s="17">
        <f t="shared" si="2"/>
        <v>9.5000000000000001E-2</v>
      </c>
      <c r="H11" s="18">
        <v>7.0000000000000007E-2</v>
      </c>
      <c r="I11" s="18">
        <v>0.05</v>
      </c>
      <c r="J11" s="18">
        <v>2.5000000000000001E-2</v>
      </c>
      <c r="K11" s="18">
        <v>2.5000000000000001E-2</v>
      </c>
      <c r="L11" s="18">
        <v>2.5000000000000001E-2</v>
      </c>
      <c r="M11" s="14"/>
    </row>
    <row r="12" spans="1:15" x14ac:dyDescent="0.2">
      <c r="A12" s="11" t="s">
        <v>9</v>
      </c>
      <c r="B12" s="19">
        <v>0.19</v>
      </c>
      <c r="C12" s="19">
        <v>0.185</v>
      </c>
      <c r="D12" s="19">
        <v>0.17899999999999999</v>
      </c>
      <c r="E12" s="19">
        <v>0.17799999999999999</v>
      </c>
      <c r="F12" s="19">
        <v>0.18</v>
      </c>
      <c r="G12" s="19">
        <v>0.17599999999999999</v>
      </c>
      <c r="H12" s="20">
        <v>0.18</v>
      </c>
      <c r="I12" s="20">
        <v>0.1825</v>
      </c>
      <c r="J12" s="20">
        <v>0.185</v>
      </c>
      <c r="K12" s="20">
        <v>0.1875</v>
      </c>
      <c r="L12" s="20">
        <v>0.19</v>
      </c>
      <c r="M12" s="14"/>
    </row>
    <row r="13" spans="1:15" x14ac:dyDescent="0.2">
      <c r="A13" s="11" t="s">
        <v>10</v>
      </c>
      <c r="B13" s="12">
        <f t="shared" ref="B13:L13" si="3">B10*B12</f>
        <v>1520</v>
      </c>
      <c r="C13" s="21">
        <f t="shared" si="3"/>
        <v>1544.75</v>
      </c>
      <c r="D13" s="21">
        <f t="shared" si="3"/>
        <v>1575.2</v>
      </c>
      <c r="E13" s="21">
        <f t="shared" si="3"/>
        <v>1673.1999999999998</v>
      </c>
      <c r="F13" s="21">
        <f t="shared" si="3"/>
        <v>1800</v>
      </c>
      <c r="G13" s="21">
        <f t="shared" si="3"/>
        <v>1927.1999999999998</v>
      </c>
      <c r="H13" s="21">
        <f t="shared" si="3"/>
        <v>2108.9699999999998</v>
      </c>
      <c r="I13" s="21">
        <f t="shared" si="3"/>
        <v>2245.1743125000003</v>
      </c>
      <c r="J13" s="21">
        <f t="shared" si="3"/>
        <v>2332.8283781250002</v>
      </c>
      <c r="K13" s="21">
        <f t="shared" si="3"/>
        <v>2423.4619130859373</v>
      </c>
      <c r="L13" s="21">
        <f t="shared" si="3"/>
        <v>2517.1691070585935</v>
      </c>
      <c r="M13" s="14"/>
    </row>
    <row r="14" spans="1:15" x14ac:dyDescent="0.2">
      <c r="A14" s="11" t="s">
        <v>11</v>
      </c>
      <c r="B14" s="19">
        <v>0.32500000000000001</v>
      </c>
      <c r="C14" s="19">
        <v>0.33</v>
      </c>
      <c r="D14" s="19">
        <v>0.32800000000000001</v>
      </c>
      <c r="E14" s="19">
        <v>0.33300000000000002</v>
      </c>
      <c r="F14" s="19">
        <v>0.33600000000000002</v>
      </c>
      <c r="G14" s="19">
        <v>0.32</v>
      </c>
      <c r="H14" s="20">
        <v>0.32</v>
      </c>
      <c r="I14" s="20">
        <v>0.32</v>
      </c>
      <c r="J14" s="20">
        <v>0.32</v>
      </c>
      <c r="K14" s="20">
        <v>0.32</v>
      </c>
      <c r="L14" s="20">
        <v>0.32</v>
      </c>
      <c r="M14" s="14"/>
    </row>
    <row r="15" spans="1:15" x14ac:dyDescent="0.2">
      <c r="A15" s="11" t="s">
        <v>12</v>
      </c>
      <c r="B15" s="21">
        <f t="shared" ref="B15:L15" si="4">B13*(1-B14)</f>
        <v>1026</v>
      </c>
      <c r="C15" s="21">
        <f t="shared" si="4"/>
        <v>1034.9824999999998</v>
      </c>
      <c r="D15" s="21">
        <f t="shared" si="4"/>
        <v>1058.5344</v>
      </c>
      <c r="E15" s="21">
        <f t="shared" si="4"/>
        <v>1116.0244</v>
      </c>
      <c r="F15" s="21">
        <f t="shared" si="4"/>
        <v>1195.1999999999998</v>
      </c>
      <c r="G15" s="21">
        <f t="shared" si="4"/>
        <v>1310.4959999999999</v>
      </c>
      <c r="H15" s="21">
        <f t="shared" si="4"/>
        <v>1434.0995999999998</v>
      </c>
      <c r="I15" s="21">
        <f t="shared" si="4"/>
        <v>1526.7185325</v>
      </c>
      <c r="J15" s="21">
        <f t="shared" si="4"/>
        <v>1586.323297125</v>
      </c>
      <c r="K15" s="21">
        <f t="shared" si="4"/>
        <v>1647.9541008984372</v>
      </c>
      <c r="L15" s="21">
        <f t="shared" si="4"/>
        <v>1711.6749927998435</v>
      </c>
      <c r="M15" s="14"/>
    </row>
    <row r="16" spans="1:15" x14ac:dyDescent="0.2">
      <c r="A16" s="11" t="s">
        <v>13</v>
      </c>
      <c r="B16" s="12">
        <v>500</v>
      </c>
      <c r="C16" s="12">
        <v>475</v>
      </c>
      <c r="D16" s="12">
        <v>530</v>
      </c>
      <c r="E16" s="12">
        <v>545</v>
      </c>
      <c r="F16" s="12">
        <v>600</v>
      </c>
      <c r="G16" s="12">
        <v>555</v>
      </c>
      <c r="H16" s="13">
        <f t="shared" ref="H16:L16" si="5">0.05*H10</f>
        <v>585.82500000000005</v>
      </c>
      <c r="I16" s="13">
        <f t="shared" si="5"/>
        <v>615.11625000000004</v>
      </c>
      <c r="J16" s="13">
        <f t="shared" si="5"/>
        <v>630.49415625000006</v>
      </c>
      <c r="K16" s="13">
        <f t="shared" si="5"/>
        <v>646.25651015624999</v>
      </c>
      <c r="L16" s="13">
        <f t="shared" si="5"/>
        <v>662.41292291015623</v>
      </c>
      <c r="M16" s="14"/>
    </row>
    <row r="17" spans="1:18" x14ac:dyDescent="0.2">
      <c r="A17" s="11" t="s">
        <v>14</v>
      </c>
      <c r="B17" s="22">
        <v>-460</v>
      </c>
      <c r="C17" s="22">
        <v>-810</v>
      </c>
      <c r="D17" s="22">
        <v>-445</v>
      </c>
      <c r="E17" s="22">
        <v>-510</v>
      </c>
      <c r="F17" s="22">
        <v>-770</v>
      </c>
      <c r="G17" s="22">
        <v>-960</v>
      </c>
      <c r="H17" s="13">
        <f t="shared" ref="H17:I17" si="6">-0.07*H10</f>
        <v>-820.15500000000009</v>
      </c>
      <c r="I17" s="13">
        <f t="shared" si="6"/>
        <v>-861.16275000000019</v>
      </c>
      <c r="J17" s="13">
        <f t="shared" ref="J17:K17" si="7">-0.06*J10</f>
        <v>-756.59298749999994</v>
      </c>
      <c r="K17" s="13">
        <f t="shared" si="7"/>
        <v>-775.50781218750001</v>
      </c>
      <c r="L17" s="13">
        <f>-0.05*L10</f>
        <v>-662.41292291015623</v>
      </c>
      <c r="M17" s="14"/>
      <c r="N17" s="23"/>
    </row>
    <row r="18" spans="1:18" x14ac:dyDescent="0.2">
      <c r="A18" s="11" t="s">
        <v>15</v>
      </c>
      <c r="B18" s="22">
        <v>40</v>
      </c>
      <c r="C18" s="22">
        <v>-65</v>
      </c>
      <c r="D18" s="22">
        <v>-70</v>
      </c>
      <c r="E18" s="22">
        <v>10</v>
      </c>
      <c r="F18" s="22">
        <v>35</v>
      </c>
      <c r="G18" s="22">
        <v>-15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14"/>
    </row>
    <row r="19" spans="1:18" x14ac:dyDescent="0.2">
      <c r="A19" s="11" t="s">
        <v>16</v>
      </c>
      <c r="B19" s="13">
        <f>B13+B16</f>
        <v>2020</v>
      </c>
      <c r="C19" s="13">
        <f t="shared" ref="B19:L19" si="8">C13+C16</f>
        <v>2019.75</v>
      </c>
      <c r="D19" s="13">
        <f t="shared" si="8"/>
        <v>2105.1999999999998</v>
      </c>
      <c r="E19" s="13">
        <f t="shared" si="8"/>
        <v>2218.1999999999998</v>
      </c>
      <c r="F19" s="13">
        <f t="shared" si="8"/>
        <v>2400</v>
      </c>
      <c r="G19" s="13">
        <f t="shared" si="8"/>
        <v>2482.1999999999998</v>
      </c>
      <c r="H19" s="13">
        <f t="shared" si="8"/>
        <v>2694.7950000000001</v>
      </c>
      <c r="I19" s="13">
        <f t="shared" si="8"/>
        <v>2860.2905625000003</v>
      </c>
      <c r="J19" s="13">
        <f t="shared" si="8"/>
        <v>2963.322534375</v>
      </c>
      <c r="K19" s="13">
        <f t="shared" si="8"/>
        <v>3069.7184232421873</v>
      </c>
      <c r="L19" s="13">
        <f t="shared" si="8"/>
        <v>3179.5820299687498</v>
      </c>
      <c r="M19" s="14"/>
    </row>
    <row r="20" spans="1:18" x14ac:dyDescent="0.2">
      <c r="A20" s="24" t="s">
        <v>17</v>
      </c>
      <c r="B20" s="13">
        <f>SUM(B15:B18)</f>
        <v>1106</v>
      </c>
      <c r="C20" s="13">
        <f t="shared" ref="C20:L20" si="9">SUM(C15:C18)</f>
        <v>634.98249999999985</v>
      </c>
      <c r="D20" s="13">
        <f t="shared" si="9"/>
        <v>1073.5344</v>
      </c>
      <c r="E20" s="13">
        <f t="shared" si="9"/>
        <v>1161.0244</v>
      </c>
      <c r="F20" s="13">
        <f t="shared" si="9"/>
        <v>1060.1999999999998</v>
      </c>
      <c r="G20" s="13">
        <f t="shared" si="9"/>
        <v>890.49599999999987</v>
      </c>
      <c r="H20" s="13">
        <f t="shared" si="9"/>
        <v>1199.7695999999996</v>
      </c>
      <c r="I20" s="13">
        <f t="shared" si="9"/>
        <v>1280.6720324999999</v>
      </c>
      <c r="J20" s="13">
        <f t="shared" si="9"/>
        <v>1460.2244658749999</v>
      </c>
      <c r="K20" s="13">
        <f t="shared" si="9"/>
        <v>1518.7027988671875</v>
      </c>
      <c r="L20" s="13">
        <f t="shared" si="9"/>
        <v>1711.6749927998435</v>
      </c>
      <c r="M20" s="14"/>
    </row>
    <row r="21" spans="1:18" ht="15.75" customHeight="1" x14ac:dyDescent="0.2">
      <c r="A21" s="24" t="s">
        <v>18</v>
      </c>
      <c r="B21" s="22"/>
      <c r="C21" s="22"/>
      <c r="D21" s="22"/>
      <c r="E21" s="22"/>
      <c r="F21" s="22"/>
      <c r="G21" s="22"/>
      <c r="H21" s="25">
        <f>(1+$B$42)^(H6-$G6)</f>
        <v>1.1135063157894738</v>
      </c>
      <c r="I21" s="25">
        <f t="shared" ref="H21:L21" si="10">(1+$B$42)^(I6-$G6)</f>
        <v>1.2398963153030473</v>
      </c>
      <c r="J21" s="25">
        <f t="shared" si="10"/>
        <v>1.3806323780140399</v>
      </c>
      <c r="K21" s="25">
        <f t="shared" si="10"/>
        <v>1.5373428727020737</v>
      </c>
      <c r="L21" s="25">
        <f t="shared" si="10"/>
        <v>1.7118409982876921</v>
      </c>
      <c r="M21" s="14"/>
    </row>
    <row r="22" spans="1:18" ht="15.75" customHeight="1" x14ac:dyDescent="0.2">
      <c r="A22" s="26" t="s">
        <v>19</v>
      </c>
      <c r="B22" s="27"/>
      <c r="C22" s="27"/>
      <c r="D22" s="27"/>
      <c r="E22" s="27"/>
      <c r="F22" s="27"/>
      <c r="G22" s="28"/>
      <c r="H22" s="29">
        <f t="shared" ref="H22:L22" si="11">H20/(1+$B$42)^(H6-$G$6)</f>
        <v>1077.4699550306236</v>
      </c>
      <c r="I22" s="29">
        <f t="shared" si="11"/>
        <v>1032.886392752112</v>
      </c>
      <c r="J22" s="29">
        <f t="shared" si="11"/>
        <v>1057.6490086198387</v>
      </c>
      <c r="K22" s="29">
        <f t="shared" si="11"/>
        <v>987.87513562142203</v>
      </c>
      <c r="L22" s="29">
        <f t="shared" si="11"/>
        <v>999.90302517113764</v>
      </c>
      <c r="M22" s="30"/>
    </row>
    <row r="23" spans="1:18" ht="15.75" customHeight="1" x14ac:dyDescent="0.2">
      <c r="A23" s="7"/>
      <c r="B23" s="31"/>
      <c r="C23" s="31"/>
      <c r="D23" s="31"/>
      <c r="E23" s="31"/>
      <c r="F23" s="31"/>
      <c r="G23" s="31">
        <v>1</v>
      </c>
      <c r="H23" s="25">
        <f t="shared" ref="H23:L23" si="12">G23*(1+$B$42)</f>
        <v>1.1135063157894738</v>
      </c>
      <c r="I23" s="25">
        <f t="shared" si="12"/>
        <v>1.2398963153030473</v>
      </c>
      <c r="J23" s="25">
        <f t="shared" si="12"/>
        <v>1.3806323780140399</v>
      </c>
      <c r="K23" s="25">
        <f t="shared" si="12"/>
        <v>1.5373428727020737</v>
      </c>
      <c r="L23" s="25">
        <f t="shared" si="12"/>
        <v>1.7118409982876921</v>
      </c>
      <c r="M23" s="7"/>
    </row>
    <row r="24" spans="1:18" ht="15.7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O24" s="7"/>
    </row>
    <row r="25" spans="1:18" ht="15.75" customHeight="1" x14ac:dyDescent="0.2">
      <c r="A25" s="32"/>
      <c r="B25" s="10"/>
      <c r="C25" s="7"/>
      <c r="D25" s="7"/>
      <c r="E25" s="1" t="s">
        <v>20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5.75" customHeight="1" x14ac:dyDescent="0.2">
      <c r="A26" s="24" t="s">
        <v>21</v>
      </c>
      <c r="B26" s="14"/>
      <c r="E26" s="2" t="s">
        <v>22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5.75" customHeight="1" x14ac:dyDescent="0.2">
      <c r="A27" s="11" t="s">
        <v>23</v>
      </c>
      <c r="B27" s="33">
        <v>17</v>
      </c>
      <c r="E27" s="2" t="s">
        <v>24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5.75" customHeight="1" x14ac:dyDescent="0.2">
      <c r="A28" s="11" t="s">
        <v>25</v>
      </c>
      <c r="B28" s="34">
        <v>1000</v>
      </c>
      <c r="E28" s="2" t="s">
        <v>26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5.75" customHeight="1" x14ac:dyDescent="0.2">
      <c r="A29" s="11" t="s">
        <v>27</v>
      </c>
      <c r="B29" s="35">
        <f>B27*B28</f>
        <v>17000</v>
      </c>
      <c r="E29" s="2" t="s">
        <v>28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5.75" customHeight="1" x14ac:dyDescent="0.2">
      <c r="A30" s="11" t="s">
        <v>29</v>
      </c>
      <c r="B30" s="34">
        <v>2000</v>
      </c>
      <c r="C30" s="36" t="s">
        <v>30</v>
      </c>
      <c r="E30" s="2" t="s">
        <v>31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5.75" customHeight="1" x14ac:dyDescent="0.2">
      <c r="A31" s="11" t="s">
        <v>32</v>
      </c>
      <c r="B31" s="37">
        <f>B29/(B29+B30)</f>
        <v>0.89473684210526316</v>
      </c>
      <c r="E31" s="2" t="s">
        <v>33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5.75" customHeight="1" x14ac:dyDescent="0.2">
      <c r="A32" s="11" t="s">
        <v>34</v>
      </c>
      <c r="B32" s="37">
        <f>1-B31</f>
        <v>0.10526315789473684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5.75" customHeight="1" x14ac:dyDescent="0.2">
      <c r="A33" s="11"/>
      <c r="B33" s="14"/>
      <c r="E33" s="1" t="s">
        <v>35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5.75" customHeight="1" x14ac:dyDescent="0.2">
      <c r="A34" s="11" t="s">
        <v>36</v>
      </c>
      <c r="B34" s="38">
        <v>4.5699999999999998E-2</v>
      </c>
      <c r="E34" s="2" t="s">
        <v>37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5.75" customHeight="1" x14ac:dyDescent="0.2">
      <c r="A35" s="11" t="s">
        <v>38</v>
      </c>
      <c r="B35" s="39">
        <v>1.2</v>
      </c>
      <c r="E35" s="2" t="s">
        <v>39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5.75" customHeight="1" x14ac:dyDescent="0.2">
      <c r="A36" s="11" t="s">
        <v>40</v>
      </c>
      <c r="B36" s="40">
        <v>6.4299999999999996E-2</v>
      </c>
      <c r="E36" s="2" t="s">
        <v>41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5.75" customHeight="1" x14ac:dyDescent="0.2">
      <c r="A37" s="11" t="s">
        <v>42</v>
      </c>
      <c r="B37" s="41">
        <f>B34+B35*B36</f>
        <v>0.12286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5.75" customHeight="1" x14ac:dyDescent="0.2">
      <c r="A38" s="11"/>
      <c r="B38" s="14"/>
      <c r="C38" s="23"/>
      <c r="D38" s="23"/>
    </row>
    <row r="39" spans="1:18" ht="15.75" customHeight="1" x14ac:dyDescent="0.2">
      <c r="A39" s="11" t="s">
        <v>43</v>
      </c>
      <c r="B39" s="40">
        <v>0.05</v>
      </c>
    </row>
    <row r="40" spans="1:18" ht="15.75" customHeight="1" x14ac:dyDescent="0.2">
      <c r="A40" s="11" t="s">
        <v>44</v>
      </c>
      <c r="B40" s="38">
        <v>0.32</v>
      </c>
    </row>
    <row r="41" spans="1:18" ht="15.75" customHeight="1" x14ac:dyDescent="0.2">
      <c r="A41" s="11"/>
      <c r="B41" s="14"/>
    </row>
    <row r="42" spans="1:18" ht="15.75" customHeight="1" x14ac:dyDescent="0.2">
      <c r="A42" s="24" t="s">
        <v>45</v>
      </c>
      <c r="B42" s="42">
        <f>B37*B31+B39*(1-B40)*B32</f>
        <v>0.11350631578947369</v>
      </c>
    </row>
    <row r="43" spans="1:18" ht="15.75" customHeight="1" x14ac:dyDescent="0.2">
      <c r="A43" s="43"/>
      <c r="B43" s="30"/>
    </row>
    <row r="44" spans="1:18" ht="15.75" customHeight="1" x14ac:dyDescent="0.2">
      <c r="B44" s="7"/>
    </row>
    <row r="45" spans="1:18" ht="15.75" customHeight="1" x14ac:dyDescent="0.2">
      <c r="B45" s="7"/>
    </row>
    <row r="46" spans="1:18" ht="15.75" customHeight="1" x14ac:dyDescent="0.2">
      <c r="A46" s="32"/>
      <c r="B46" s="10"/>
    </row>
    <row r="47" spans="1:18" ht="15.75" customHeight="1" x14ac:dyDescent="0.2">
      <c r="A47" s="24" t="s">
        <v>46</v>
      </c>
      <c r="B47" s="44"/>
    </row>
    <row r="48" spans="1:18" ht="15.75" customHeight="1" x14ac:dyDescent="0.2">
      <c r="A48" s="11" t="s">
        <v>47</v>
      </c>
      <c r="B48" s="38">
        <v>2.5000000000000001E-2</v>
      </c>
      <c r="C48" s="45" t="s">
        <v>48</v>
      </c>
    </row>
    <row r="49" spans="1:6" ht="15.75" customHeight="1" x14ac:dyDescent="0.2">
      <c r="A49" s="11" t="s">
        <v>49</v>
      </c>
      <c r="B49" s="35">
        <f>L20*(1+B48)/(B42-B48)</f>
        <v>19823.069709433134</v>
      </c>
      <c r="C49" s="45" t="s">
        <v>50</v>
      </c>
    </row>
    <row r="50" spans="1:6" ht="15.75" customHeight="1" x14ac:dyDescent="0.2">
      <c r="A50" s="11" t="s">
        <v>51</v>
      </c>
      <c r="B50" s="35">
        <f>B49/(1+B42)^5</f>
        <v>11579.971346206576</v>
      </c>
      <c r="C50" s="45" t="s">
        <v>52</v>
      </c>
    </row>
    <row r="51" spans="1:6" ht="15.75" customHeight="1" x14ac:dyDescent="0.2">
      <c r="A51" s="11" t="s">
        <v>53</v>
      </c>
      <c r="B51" s="35">
        <f>SUM(H22:L22)</f>
        <v>5155.7835171951338</v>
      </c>
    </row>
    <row r="52" spans="1:6" ht="15.75" customHeight="1" x14ac:dyDescent="0.2">
      <c r="A52" s="11" t="s">
        <v>54</v>
      </c>
      <c r="B52" s="35">
        <f>SUM(B50:B51)</f>
        <v>16735.754863401708</v>
      </c>
    </row>
    <row r="53" spans="1:6" ht="15.75" customHeight="1" x14ac:dyDescent="0.2">
      <c r="A53" s="11"/>
      <c r="B53" s="14"/>
    </row>
    <row r="54" spans="1:6" ht="15.75" customHeight="1" x14ac:dyDescent="0.2">
      <c r="A54" s="11" t="s">
        <v>55</v>
      </c>
      <c r="B54" s="35">
        <f>B52-B$30</f>
        <v>14735.754863401708</v>
      </c>
    </row>
    <row r="55" spans="1:6" ht="15.75" customHeight="1" x14ac:dyDescent="0.2">
      <c r="A55" s="11" t="s">
        <v>25</v>
      </c>
      <c r="B55" s="35">
        <f>B$28</f>
        <v>1000</v>
      </c>
      <c r="F55" s="46"/>
    </row>
    <row r="56" spans="1:6" ht="15.75" customHeight="1" x14ac:dyDescent="0.2">
      <c r="A56" s="11"/>
      <c r="B56" s="14"/>
    </row>
    <row r="57" spans="1:6" ht="15.75" customHeight="1" x14ac:dyDescent="0.2">
      <c r="A57" s="24" t="s">
        <v>56</v>
      </c>
      <c r="B57" s="47">
        <f>B54/B55</f>
        <v>14.735754863401707</v>
      </c>
    </row>
    <row r="58" spans="1:6" ht="15.75" customHeight="1" x14ac:dyDescent="0.2">
      <c r="A58" s="11" t="s">
        <v>57</v>
      </c>
      <c r="B58" s="48">
        <f>(B57-B$27)/B$27</f>
        <v>-0.13319089038813486</v>
      </c>
    </row>
    <row r="59" spans="1:6" ht="15.75" customHeight="1" x14ac:dyDescent="0.2">
      <c r="A59" s="43"/>
      <c r="B59" s="30"/>
    </row>
    <row r="60" spans="1:6" ht="15.75" customHeight="1" x14ac:dyDescent="0.2">
      <c r="B60" s="7"/>
    </row>
    <row r="61" spans="1:6" ht="15.75" customHeight="1" x14ac:dyDescent="0.2">
      <c r="B61" s="7"/>
    </row>
    <row r="62" spans="1:6" ht="15.75" customHeight="1" x14ac:dyDescent="0.2">
      <c r="A62" s="32"/>
      <c r="B62" s="10"/>
    </row>
    <row r="63" spans="1:6" ht="15.75" customHeight="1" x14ac:dyDescent="0.2">
      <c r="A63" s="24" t="s">
        <v>58</v>
      </c>
      <c r="B63" s="44"/>
    </row>
    <row r="64" spans="1:6" ht="15.75" customHeight="1" x14ac:dyDescent="0.2">
      <c r="A64" s="11" t="s">
        <v>59</v>
      </c>
      <c r="B64" s="49">
        <v>8</v>
      </c>
    </row>
    <row r="65" spans="1:3" ht="15.75" customHeight="1" x14ac:dyDescent="0.2">
      <c r="A65" s="11" t="s">
        <v>49</v>
      </c>
      <c r="B65" s="35">
        <f>B64*L19</f>
        <v>25436.656239749998</v>
      </c>
    </row>
    <row r="66" spans="1:3" ht="15.75" customHeight="1" x14ac:dyDescent="0.2">
      <c r="A66" s="11" t="s">
        <v>51</v>
      </c>
      <c r="B66" s="35">
        <f>B64*L19/(1+B42)^5</f>
        <v>14859.240002543222</v>
      </c>
    </row>
    <row r="67" spans="1:3" ht="15.75" customHeight="1" x14ac:dyDescent="0.2">
      <c r="A67" s="11" t="s">
        <v>53</v>
      </c>
      <c r="B67" s="35">
        <f>B51</f>
        <v>5155.7835171951338</v>
      </c>
    </row>
    <row r="68" spans="1:3" ht="15.75" customHeight="1" x14ac:dyDescent="0.2">
      <c r="A68" s="11" t="s">
        <v>54</v>
      </c>
      <c r="B68" s="35">
        <f>SUM(B66:B67)</f>
        <v>20015.023519738355</v>
      </c>
    </row>
    <row r="69" spans="1:3" ht="15.75" customHeight="1" x14ac:dyDescent="0.2">
      <c r="A69" s="11"/>
      <c r="B69" s="14"/>
    </row>
    <row r="70" spans="1:3" ht="15.75" customHeight="1" x14ac:dyDescent="0.2">
      <c r="A70" s="11" t="s">
        <v>55</v>
      </c>
      <c r="B70" s="35">
        <f>B68-B$30</f>
        <v>18015.023519738355</v>
      </c>
      <c r="C70" s="23"/>
    </row>
    <row r="71" spans="1:3" ht="15.75" customHeight="1" x14ac:dyDescent="0.2">
      <c r="A71" s="11" t="s">
        <v>25</v>
      </c>
      <c r="B71" s="35">
        <f>B$28</f>
        <v>1000</v>
      </c>
    </row>
    <row r="72" spans="1:3" ht="15.75" customHeight="1" x14ac:dyDescent="0.2">
      <c r="A72" s="11"/>
      <c r="B72" s="14"/>
    </row>
    <row r="73" spans="1:3" ht="15.75" customHeight="1" x14ac:dyDescent="0.2">
      <c r="A73" s="24" t="s">
        <v>56</v>
      </c>
      <c r="B73" s="47">
        <f>B70/B71</f>
        <v>18.015023519738357</v>
      </c>
    </row>
    <row r="74" spans="1:3" ht="15.75" customHeight="1" x14ac:dyDescent="0.2">
      <c r="A74" s="11" t="s">
        <v>57</v>
      </c>
      <c r="B74" s="48">
        <f>(B73-B$27)/B$27</f>
        <v>5.970726586696215E-2</v>
      </c>
    </row>
    <row r="75" spans="1:3" ht="15.75" customHeight="1" x14ac:dyDescent="0.2">
      <c r="A75" s="43"/>
      <c r="B75" s="30"/>
    </row>
    <row r="76" spans="1:3" ht="15.75" customHeight="1" x14ac:dyDescent="0.15"/>
    <row r="77" spans="1:3" ht="15.75" customHeight="1" x14ac:dyDescent="0.15"/>
    <row r="78" spans="1:3" ht="15.75" customHeight="1" x14ac:dyDescent="0.15"/>
    <row r="79" spans="1:3" ht="15.75" customHeight="1" x14ac:dyDescent="0.15"/>
    <row r="80" spans="1:3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B5:G5"/>
    <mergeCell ref="H5:L5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Sibo Wang</dc:creator>
  <cp:lastModifiedBy>Aadarsh Agarwal</cp:lastModifiedBy>
  <dcterms:created xsi:type="dcterms:W3CDTF">2011-11-01T22:29:42Z</dcterms:created>
  <dcterms:modified xsi:type="dcterms:W3CDTF">2024-03-18T10:39:53Z</dcterms:modified>
</cp:coreProperties>
</file>